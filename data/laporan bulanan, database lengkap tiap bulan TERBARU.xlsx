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19420" windowHeight="12220"/>
  </bookViews>
  <sheets>
    <sheet name="FEBRUARI-2024" sheetId="26" r:id="rId1"/>
  </sheets>
  <calcPr calcId="191029"/>
  <extLst>
    <ext uri="GoogleSheetsCustomDataVersion2">
      <go:sheetsCustomData xmlns:go="http://customooxmlschemas.google.com/" r:id="rId30" roundtripDataChecksum="LbdGq1tygLFacmE1gbbFKFUeTh40bqSMByacsxc+Yks="/>
    </ext>
  </extLst>
</workbook>
</file>

<file path=xl/calcChain.xml><?xml version="1.0" encoding="utf-8"?>
<calcChain xmlns="http://schemas.openxmlformats.org/spreadsheetml/2006/main">
  <c r="T10" i="26" l="1"/>
  <c r="R10" i="26"/>
  <c r="T5" i="26"/>
  <c r="K22" i="26"/>
  <c r="K21" i="26"/>
  <c r="K20" i="26"/>
  <c r="K19" i="26"/>
  <c r="K23" i="26" s="1"/>
  <c r="Q10" i="26"/>
  <c r="P15" i="26" s="1"/>
  <c r="P10" i="26"/>
  <c r="X9" i="26"/>
  <c r="X8" i="26"/>
  <c r="X7" i="26"/>
  <c r="X6" i="26"/>
  <c r="X5" i="26"/>
  <c r="X10" i="26" s="1"/>
  <c r="P14" i="26" l="1"/>
  <c r="P16" i="26" s="1"/>
</calcChain>
</file>

<file path=xl/sharedStrings.xml><?xml version="1.0" encoding="utf-8"?>
<sst xmlns="http://schemas.openxmlformats.org/spreadsheetml/2006/main" count="50" uniqueCount="45">
  <si>
    <t>No.</t>
  </si>
  <si>
    <t>TANGGAL</t>
  </si>
  <si>
    <t>NOTA</t>
  </si>
  <si>
    <t>NAMA</t>
  </si>
  <si>
    <t>ALAMAT</t>
  </si>
  <si>
    <t>FRAME</t>
  </si>
  <si>
    <t>LENSA</t>
  </si>
  <si>
    <t>UKURAN</t>
  </si>
  <si>
    <t>JUMLAH</t>
  </si>
  <si>
    <t>BPJS</t>
  </si>
  <si>
    <t>SISA</t>
  </si>
  <si>
    <t>R</t>
  </si>
  <si>
    <t>L</t>
  </si>
  <si>
    <t>PHOTOCROMIC</t>
  </si>
  <si>
    <t>+3.00</t>
  </si>
  <si>
    <t>S+0.50</t>
  </si>
  <si>
    <t>S-0.50</t>
  </si>
  <si>
    <t>ASAL RESEP</t>
  </si>
  <si>
    <t>SMEC</t>
  </si>
  <si>
    <t xml:space="preserve"> </t>
  </si>
  <si>
    <t>PROGRESIVE</t>
  </si>
  <si>
    <t>BUKAN BPJS</t>
  </si>
  <si>
    <t>CASH</t>
  </si>
  <si>
    <t>UMUM</t>
  </si>
  <si>
    <t>5</t>
  </si>
  <si>
    <t>BPJS KELAS 1</t>
  </si>
  <si>
    <t>BPJS KELAS 2</t>
  </si>
  <si>
    <t>BPJS KELAS 3</t>
  </si>
  <si>
    <t>NOMOR TELPON</t>
  </si>
  <si>
    <t>KETERANGAN LENSA</t>
  </si>
  <si>
    <t>TGL SELESAI PEMASANGAN</t>
  </si>
  <si>
    <t>TGL PENGAMBILAN</t>
  </si>
  <si>
    <t>KOSIYAH</t>
  </si>
  <si>
    <t>JL.PAJAGAT 3 NO.100</t>
  </si>
  <si>
    <t>081381764898</t>
  </si>
  <si>
    <t>PAKET/1990/1</t>
  </si>
  <si>
    <t>PD</t>
  </si>
  <si>
    <t>ADD OD</t>
  </si>
  <si>
    <t>ADD OS</t>
  </si>
  <si>
    <t>STATUS BAYAR</t>
  </si>
  <si>
    <t>UANG MUKA</t>
  </si>
  <si>
    <t>61/59</t>
  </si>
  <si>
    <t>BANK</t>
  </si>
  <si>
    <t>KACAMATA PAKET</t>
  </si>
  <si>
    <t>TOTAL FEBRUARI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</si>
</sst>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&quot;Rp&quot;* #,##0_-;\-&quot;Rp&quot;* #,##0_-;_-&quot;Rp&quot;* &quot;-&quot;??_-;_-@"/>
  </numFmts>
  <fonts count="12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b/>
      <sz val="14"/>
      <color theme="1"/>
      <name val="Calibri"/>
    </font>
    <font>
      <sz val="11"/>
      <color theme="1"/>
      <name val="Arial"/>
    </font>
    <font>
      <sz val="9"/>
      <color rgb="FF000000"/>
      <name val="Arial"/>
    </font>
    <font>
      <b/>
      <sz val="9"/>
      <color theme="1"/>
      <name val="Calibri"/>
    </font>
    <font>
      <sz val="11"/>
      <color theme="1"/>
      <name val="Arial"/>
      <family val="2"/>
    </font>
    <font>
      <sz val="11"/>
      <name val="Calibri"/>
      <family val="2"/>
    </font>
    <font>
      <b/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14" fontId="2" fillId="0" borderId="5" xfId="0" applyNumberFormat="1" applyFont="1" applyBorder="1"/>
    <xf numFmtId="0" fontId="2" fillId="0" borderId="5" xfId="0" applyFont="1" applyBorder="1"/>
    <xf numFmtId="49" fontId="2" fillId="0" borderId="5" xfId="0" applyNumberFormat="1" applyFont="1" applyBorder="1"/>
    <xf numFmtId="164" fontId="2" fillId="0" borderId="5" xfId="0" applyNumberFormat="1" applyFont="1" applyBorder="1"/>
    <xf numFmtId="0" fontId="2" fillId="0" borderId="5" xfId="0" applyFont="1" applyBorder="1" applyAlignment="1">
      <alignment horizontal="left"/>
    </xf>
    <xf numFmtId="14" fontId="4" fillId="0" borderId="0" xfId="0" applyNumberFormat="1" applyFont="1"/>
    <xf numFmtId="14" fontId="4" fillId="0" borderId="5" xfId="0" applyNumberFormat="1" applyFont="1" applyBorder="1"/>
    <xf numFmtId="0" fontId="4" fillId="0" borderId="5" xfId="0" applyFont="1" applyBorder="1"/>
    <xf numFmtId="0" fontId="4" fillId="0" borderId="0" xfId="0" applyFont="1" applyAlignment="1">
      <alignment horizontal="left"/>
    </xf>
    <xf numFmtId="0" fontId="2" fillId="0" borderId="5" xfId="0" quotePrefix="1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6" fillId="0" borderId="0" xfId="0" applyFont="1"/>
    <xf numFmtId="164" fontId="7" fillId="3" borderId="0" xfId="0" applyNumberFormat="1" applyFont="1" applyFill="1"/>
    <xf numFmtId="0" fontId="6" fillId="0" borderId="5" xfId="0" applyFont="1" applyBorder="1"/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4" fillId="0" borderId="0" xfId="0" applyNumberFormat="1" applyFont="1"/>
    <xf numFmtId="49" fontId="4" fillId="0" borderId="5" xfId="0" applyNumberFormat="1" applyFont="1" applyBorder="1"/>
    <xf numFmtId="0" fontId="2" fillId="0" borderId="2" xfId="0" applyFont="1" applyBorder="1"/>
    <xf numFmtId="0" fontId="3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14" fontId="2" fillId="0" borderId="3" xfId="0" applyNumberFormat="1" applyFont="1" applyBorder="1"/>
    <xf numFmtId="164" fontId="2" fillId="0" borderId="1" xfId="0" applyNumberFormat="1" applyFont="1" applyBorder="1"/>
    <xf numFmtId="14" fontId="2" fillId="0" borderId="1" xfId="0" applyNumberFormat="1" applyFont="1" applyBorder="1"/>
    <xf numFmtId="164" fontId="2" fillId="0" borderId="4" xfId="0" applyNumberFormat="1" applyFont="1" applyBorder="1"/>
    <xf numFmtId="14" fontId="2" fillId="0" borderId="4" xfId="0" applyNumberFormat="1" applyFont="1" applyBorder="1"/>
    <xf numFmtId="0" fontId="6" fillId="0" borderId="4" xfId="0" applyFont="1" applyBorder="1"/>
    <xf numFmtId="164" fontId="2" fillId="0" borderId="13" xfId="0" applyNumberFormat="1" applyFont="1" applyBorder="1"/>
    <xf numFmtId="164" fontId="2" fillId="0" borderId="13" xfId="0" applyNumberFormat="1" applyFont="1" applyBorder="1" applyAlignment="1"/>
    <xf numFmtId="0" fontId="3" fillId="0" borderId="13" xfId="0" applyFont="1" applyBorder="1" applyAlignment="1"/>
    <xf numFmtId="164" fontId="2" fillId="0" borderId="3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4" xfId="0" applyFont="1" applyBorder="1"/>
    <xf numFmtId="0" fontId="2" fillId="0" borderId="4" xfId="0" applyFont="1" applyBorder="1" applyAlignment="1">
      <alignment horizontal="left"/>
    </xf>
    <xf numFmtId="0" fontId="0" fillId="0" borderId="13" xfId="0" applyBorder="1"/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4" xfId="0" applyFont="1" applyBorder="1"/>
    <xf numFmtId="1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5" fillId="2" borderId="13" xfId="0" applyNumberFormat="1" applyFont="1" applyFill="1" applyBorder="1"/>
    <xf numFmtId="0" fontId="3" fillId="0" borderId="13" xfId="0" applyFont="1" applyBorder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2" xfId="0" applyFont="1" applyBorder="1"/>
    <xf numFmtId="0" fontId="3" fillId="0" borderId="3" xfId="0" applyFont="1" applyBorder="1"/>
    <xf numFmtId="0" fontId="9" fillId="0" borderId="1" xfId="0" applyFont="1" applyBorder="1" applyAlignment="1">
      <alignment horizontal="center" vertical="center" wrapText="1"/>
    </xf>
    <xf numFmtId="0" fontId="10" fillId="0" borderId="4" xfId="0" applyFont="1" applyBorder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5" fillId="2" borderId="13" xfId="0" applyFont="1" applyFill="1" applyBorder="1"/>
    <xf numFmtId="0" fontId="11" fillId="2" borderId="1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4" Type="http://schemas.openxmlformats.org/officeDocument/2006/relationships/calcChain" Target="calcChain.xml"/><Relationship Id="rId3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32" Type="http://schemas.openxmlformats.org/officeDocument/2006/relationships/styles" Target="styles.xml"/><Relationship Id="rId31" Type="http://schemas.openxmlformats.org/officeDocument/2006/relationships/theme" Target="theme/theme1.xml"/><Relationship Id="rId30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123825</xdr:colOff>
      <xdr:row>2</xdr:row>
      <xdr:rowOff>142875</xdr:rowOff>
    </xdr:from>
    <xdr:ext cx="3586688" cy="436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5E7D2599-5BCE-7DA5-C76C-A648134A9908}"/>
            </a:ext>
          </a:extLst>
        </xdr:cNvPr>
        <xdr:cNvSpPr txBox="1"/>
      </xdr:nvSpPr>
      <xdr:spPr>
        <a:xfrm>
          <a:off x="24441150" y="523875"/>
          <a:ext cx="3586688" cy="436786"/>
        </a:xfrm>
        <a:prstGeom prst="rect">
          <a:avLst/>
        </a:prstGeom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d-ID" sz="1100"/>
            <a:t>JIKA BELI KACAMATA </a:t>
          </a:r>
          <a:r>
            <a:rPr lang="id-ID" sz="1100" baseline="0"/>
            <a:t>LENSA KRIPTOK </a:t>
          </a:r>
          <a:r>
            <a:rPr lang="id-ID" sz="1100"/>
            <a:t>DENGAN KETENTUAN</a:t>
          </a:r>
          <a:endParaRPr lang="id-ID" sz="1100" baseline="0"/>
        </a:p>
        <a:p>
          <a:r>
            <a:rPr lang="id-ID" sz="1100" baseline="0"/>
            <a:t>TOTAL HARGA DIBAWAH 265.000 MAKA TERINPUT DISINI</a:t>
          </a:r>
          <a:endParaRPr lang="id-ID" sz="1100"/>
        </a:p>
      </xdr:txBody>
    </xdr:sp>
    <xdr:clientData/>
  </xdr:oneCellAnchor>
  <xdr:twoCellAnchor>
    <xdr:from>
      <xdr:col>24</xdr:col>
      <xdr:colOff>28575</xdr:colOff>
      <xdr:row>2</xdr:row>
      <xdr:rowOff>38100</xdr:rowOff>
    </xdr:from>
    <xdr:to>
      <xdr:col>25</xdr:col>
      <xdr:colOff>161925</xdr:colOff>
      <xdr:row>3</xdr:row>
      <xdr:rowOff>38100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xmlns="" id="{3D5163CE-90AD-D7DF-81E0-7C28AD972F9F}"/>
            </a:ext>
          </a:extLst>
        </xdr:cNvPr>
        <xdr:cNvSpPr/>
      </xdr:nvSpPr>
      <xdr:spPr>
        <a:xfrm>
          <a:off x="23764875" y="419100"/>
          <a:ext cx="714375" cy="1905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84"/>
  <sheetViews>
    <sheetView tabSelected="1" workbookViewId="0">
      <selection activeCell="P6" sqref="P6"/>
    </sheetView>
  </sheetViews>
  <sheetFormatPr defaultColWidth="14.453125" defaultRowHeight="15" customHeight="1"/>
  <cols>
    <col min="1" max="1" width="5.1796875" customWidth="1"/>
    <col min="2" max="2" width="11.54296875" customWidth="1"/>
    <col min="3" max="3" width="7.453125" customWidth="1"/>
    <col min="4" max="4" width="11.7265625" customWidth="1"/>
    <col min="5" max="6" width="23.26953125" customWidth="1"/>
    <col min="7" max="7" width="15.1796875" customWidth="1"/>
    <col min="8" max="8" width="15.81640625" customWidth="1"/>
    <col min="9" max="9" width="19.453125" customWidth="1"/>
    <col min="10" max="10" width="16.453125" customWidth="1"/>
    <col min="11" max="11" width="19.26953125" customWidth="1"/>
    <col min="12" max="12" width="18" customWidth="1"/>
    <col min="13" max="15" width="13.1796875" customWidth="1"/>
    <col min="16" max="16" width="16.26953125" customWidth="1"/>
    <col min="17" max="17" width="16.453125" customWidth="1"/>
    <col min="18" max="19" width="15.81640625" customWidth="1"/>
    <col min="20" max="20" width="12.81640625" customWidth="1"/>
    <col min="21" max="21" width="12.1796875" customWidth="1"/>
    <col min="22" max="22" width="14.54296875" customWidth="1"/>
    <col min="23" max="23" width="12.1796875" customWidth="1"/>
    <col min="24" max="24" width="13.81640625" customWidth="1"/>
    <col min="25" max="31" width="8.7265625" customWidth="1"/>
  </cols>
  <sheetData>
    <row r="1" spans="1:24" ht="14.5">
      <c r="A1" s="1" t="s">
        <v>19</v>
      </c>
      <c r="B1" s="18"/>
      <c r="C1" s="1"/>
      <c r="D1" s="1"/>
      <c r="E1" s="1"/>
      <c r="F1" s="1"/>
      <c r="G1" s="1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5"/>
      <c r="W1" s="9"/>
      <c r="X1" s="15"/>
    </row>
    <row r="2" spans="1:24" ht="14.5">
      <c r="A2" s="2"/>
      <c r="B2" s="9"/>
      <c r="G2" s="20"/>
      <c r="M2" s="12"/>
      <c r="N2" s="12"/>
      <c r="O2" s="12"/>
      <c r="U2" s="9"/>
      <c r="V2" s="15"/>
      <c r="W2" s="9"/>
      <c r="X2" s="15"/>
    </row>
    <row r="3" spans="1:24" ht="14.5">
      <c r="A3" s="48" t="s">
        <v>0</v>
      </c>
      <c r="B3" s="50" t="s">
        <v>1</v>
      </c>
      <c r="C3" s="48" t="s">
        <v>2</v>
      </c>
      <c r="D3" s="48" t="s">
        <v>17</v>
      </c>
      <c r="E3" s="48" t="s">
        <v>3</v>
      </c>
      <c r="F3" s="48" t="s">
        <v>4</v>
      </c>
      <c r="G3" s="51" t="s">
        <v>28</v>
      </c>
      <c r="H3" s="48" t="s">
        <v>5</v>
      </c>
      <c r="I3" s="48" t="s">
        <v>6</v>
      </c>
      <c r="J3" s="52" t="s">
        <v>29</v>
      </c>
      <c r="K3" s="55" t="s">
        <v>7</v>
      </c>
      <c r="L3" s="56"/>
      <c r="M3" s="56"/>
      <c r="N3" s="56"/>
      <c r="O3" s="57"/>
      <c r="P3" s="48" t="s">
        <v>8</v>
      </c>
      <c r="Q3" s="48" t="s">
        <v>9</v>
      </c>
      <c r="R3" s="41" t="s">
        <v>40</v>
      </c>
      <c r="S3" s="43" t="s">
        <v>39</v>
      </c>
      <c r="T3" s="48" t="s">
        <v>10</v>
      </c>
      <c r="U3" s="62" t="s">
        <v>30</v>
      </c>
      <c r="V3" s="43" t="s">
        <v>39</v>
      </c>
      <c r="W3" s="62" t="s">
        <v>31</v>
      </c>
      <c r="X3" s="60" t="s">
        <v>43</v>
      </c>
    </row>
    <row r="4" spans="1:24" ht="18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24" t="s">
        <v>11</v>
      </c>
      <c r="L4" s="24" t="s">
        <v>12</v>
      </c>
      <c r="M4" s="23" t="s">
        <v>37</v>
      </c>
      <c r="N4" s="23" t="s">
        <v>38</v>
      </c>
      <c r="O4" s="23" t="s">
        <v>36</v>
      </c>
      <c r="P4" s="49"/>
      <c r="Q4" s="49"/>
      <c r="R4" s="42"/>
      <c r="S4" s="44"/>
      <c r="T4" s="49"/>
      <c r="U4" s="49"/>
      <c r="V4" s="44"/>
      <c r="W4" s="49"/>
      <c r="X4" s="61"/>
    </row>
    <row r="5" spans="1:24" ht="14.5">
      <c r="A5" s="3">
        <v>1</v>
      </c>
      <c r="B5" s="4">
        <v>45323</v>
      </c>
      <c r="C5" s="5">
        <v>12181</v>
      </c>
      <c r="D5" s="5" t="s">
        <v>18</v>
      </c>
      <c r="E5" s="5" t="s">
        <v>32</v>
      </c>
      <c r="F5" s="5" t="s">
        <v>33</v>
      </c>
      <c r="G5" s="6" t="s">
        <v>34</v>
      </c>
      <c r="H5" s="5" t="s">
        <v>35</v>
      </c>
      <c r="I5" s="5" t="s">
        <v>20</v>
      </c>
      <c r="J5" s="5" t="s">
        <v>13</v>
      </c>
      <c r="K5" s="5" t="s">
        <v>16</v>
      </c>
      <c r="L5" s="5" t="s">
        <v>15</v>
      </c>
      <c r="M5" s="13" t="s">
        <v>14</v>
      </c>
      <c r="N5" s="13" t="s">
        <v>14</v>
      </c>
      <c r="O5" s="13" t="s">
        <v>41</v>
      </c>
      <c r="P5" s="7">
        <v>1330000</v>
      </c>
      <c r="Q5" s="7">
        <v>330000</v>
      </c>
      <c r="R5" s="7">
        <v>500000</v>
      </c>
      <c r="S5" s="7" t="s">
        <v>22</v>
      </c>
      <c r="T5" s="7">
        <f>SUM(P5-Q5-R5)</f>
        <v>500000</v>
      </c>
      <c r="U5" s="4">
        <v>45324</v>
      </c>
      <c r="V5" s="7" t="s">
        <v>42</v>
      </c>
      <c r="W5" s="4">
        <v>45325</v>
      </c>
      <c r="X5" s="16">
        <f>IF(AND(ISNUMBER(SEARCH("KRIPTOK", I5)), P5&lt;265000), P5, 0)</f>
        <v>0</v>
      </c>
    </row>
    <row r="6" spans="1:24" ht="14.5">
      <c r="A6" s="3">
        <v>2</v>
      </c>
      <c r="B6" s="4"/>
      <c r="C6" s="5">
        <v>12182</v>
      </c>
      <c r="D6" s="5"/>
      <c r="E6" s="5"/>
      <c r="F6" s="5"/>
      <c r="G6" s="6"/>
      <c r="H6" s="5"/>
      <c r="I6" s="5"/>
      <c r="J6" s="5"/>
      <c r="K6" s="5"/>
      <c r="L6" s="5"/>
      <c r="M6" s="13"/>
      <c r="N6" s="13"/>
      <c r="O6" s="13"/>
      <c r="P6" s="7"/>
      <c r="Q6" s="7"/>
      <c r="R6" s="7"/>
      <c r="S6" s="7"/>
      <c r="T6" s="7"/>
      <c r="U6" s="4"/>
      <c r="V6" s="7"/>
      <c r="W6" s="4"/>
      <c r="X6" s="16">
        <f>IF(AND(ISNUMBER(SEARCH("KRIPTOK", I6)), P6&lt;265000), P6, 0)</f>
        <v>0</v>
      </c>
    </row>
    <row r="7" spans="1:24" ht="14.5">
      <c r="A7" s="3">
        <v>3</v>
      </c>
      <c r="B7" s="4"/>
      <c r="C7" s="5">
        <v>12183</v>
      </c>
      <c r="D7" s="5"/>
      <c r="E7" s="5"/>
      <c r="F7" s="5"/>
      <c r="G7" s="6"/>
      <c r="H7" s="5"/>
      <c r="I7" s="5"/>
      <c r="J7" s="5"/>
      <c r="K7" s="5"/>
      <c r="L7" s="5"/>
      <c r="M7" s="13"/>
      <c r="N7" s="13"/>
      <c r="O7" s="13"/>
      <c r="P7" s="7"/>
      <c r="Q7" s="7"/>
      <c r="R7" s="7"/>
      <c r="S7" s="7"/>
      <c r="T7" s="7"/>
      <c r="U7" s="4"/>
      <c r="V7" s="7"/>
      <c r="W7" s="4"/>
      <c r="X7" s="16">
        <f>IF(AND(ISNUMBER(SEARCH("KRIPTOK", I7)), P7&lt;265000), P7, 0)</f>
        <v>0</v>
      </c>
    </row>
    <row r="8" spans="1:24" ht="14.5">
      <c r="A8" s="3">
        <v>4</v>
      </c>
      <c r="B8" s="4"/>
      <c r="C8" s="5">
        <v>12184</v>
      </c>
      <c r="D8" s="5"/>
      <c r="E8" s="5"/>
      <c r="F8" s="5"/>
      <c r="G8" s="6"/>
      <c r="H8" s="5"/>
      <c r="I8" s="5"/>
      <c r="J8" s="5"/>
      <c r="K8" s="5"/>
      <c r="L8" s="5"/>
      <c r="M8" s="8"/>
      <c r="N8" s="8"/>
      <c r="O8" s="8"/>
      <c r="P8" s="7"/>
      <c r="Q8" s="7"/>
      <c r="R8" s="7"/>
      <c r="S8" s="7"/>
      <c r="T8" s="7"/>
      <c r="U8" s="4"/>
      <c r="V8" s="7"/>
      <c r="W8" s="4"/>
      <c r="X8" s="16">
        <f>IF(AND(ISNUMBER(SEARCH("KRIPTOK", I8)), P8&lt;265000), P8, 0)</f>
        <v>0</v>
      </c>
    </row>
    <row r="9" spans="1:24" ht="14.5">
      <c r="A9" s="3">
        <v>5</v>
      </c>
      <c r="B9" s="4"/>
      <c r="C9" s="5">
        <v>12185</v>
      </c>
      <c r="D9" s="5"/>
      <c r="E9" s="5"/>
      <c r="F9" s="5"/>
      <c r="G9" s="6"/>
      <c r="H9" s="5"/>
      <c r="I9" s="5"/>
      <c r="J9" s="5"/>
      <c r="K9" s="5"/>
      <c r="L9" s="5"/>
      <c r="M9" s="13"/>
      <c r="N9" s="13"/>
      <c r="O9" s="13"/>
      <c r="P9" s="27"/>
      <c r="Q9" s="27"/>
      <c r="R9" s="27"/>
      <c r="S9" s="27"/>
      <c r="T9" s="27"/>
      <c r="U9" s="28"/>
      <c r="V9" s="27"/>
      <c r="W9" s="4"/>
      <c r="X9" s="16">
        <f>IF(AND(ISNUMBER(SEARCH("KRIPTOK", I9)), P9&lt;265000), P9, 0)</f>
        <v>0</v>
      </c>
    </row>
    <row r="10" spans="1:24" ht="15.75" customHeight="1">
      <c r="A10" s="3"/>
      <c r="B10" s="10"/>
      <c r="C10" s="5"/>
      <c r="D10" s="5"/>
      <c r="E10" s="5"/>
      <c r="F10" s="5"/>
      <c r="G10" s="6"/>
      <c r="H10" s="5"/>
      <c r="I10" s="5"/>
      <c r="J10" s="5"/>
      <c r="K10" s="5"/>
      <c r="L10" s="5"/>
      <c r="M10" s="8"/>
      <c r="N10" s="8"/>
      <c r="O10" s="25"/>
      <c r="P10" s="32">
        <f>SUM(P4:P9)</f>
        <v>1330000</v>
      </c>
      <c r="Q10" s="32">
        <f>SUM(Q5:Q9)</f>
        <v>330000</v>
      </c>
      <c r="R10" s="33">
        <f>SUM(R5:R9)</f>
        <v>500000</v>
      </c>
      <c r="S10" s="33"/>
      <c r="T10" s="33">
        <f>SUM(T5:T9)</f>
        <v>500000</v>
      </c>
      <c r="U10" s="34"/>
      <c r="V10" s="34"/>
      <c r="W10" s="26"/>
      <c r="X10" s="16">
        <f>SUM(X4:X9)</f>
        <v>0</v>
      </c>
    </row>
    <row r="11" spans="1:24" ht="15.75" customHeight="1">
      <c r="A11" s="3"/>
      <c r="B11" s="4"/>
      <c r="C11" s="5"/>
      <c r="D11" s="5"/>
      <c r="E11" s="5"/>
      <c r="F11" s="5"/>
      <c r="G11" s="6"/>
      <c r="H11" s="5"/>
      <c r="I11" s="5"/>
      <c r="J11" s="5"/>
      <c r="K11" s="5"/>
      <c r="L11" s="5"/>
      <c r="M11" s="8"/>
      <c r="N11" s="8"/>
      <c r="O11" s="8"/>
      <c r="P11" s="29"/>
      <c r="Q11" s="29"/>
      <c r="R11" s="29"/>
      <c r="S11" s="29"/>
      <c r="T11" s="29"/>
      <c r="U11" s="30"/>
      <c r="V11" s="31"/>
      <c r="W11" s="4"/>
      <c r="X11" s="17"/>
    </row>
    <row r="12" spans="1:24" ht="15.75" customHeight="1">
      <c r="A12" s="3"/>
      <c r="B12" s="4"/>
      <c r="C12" s="5"/>
      <c r="D12" s="5"/>
      <c r="E12" s="5"/>
      <c r="F12" s="5"/>
      <c r="G12" s="6"/>
      <c r="H12" s="5"/>
      <c r="I12" s="5"/>
      <c r="J12" s="5"/>
      <c r="K12" s="5"/>
      <c r="L12" s="36"/>
      <c r="M12" s="37"/>
      <c r="N12" s="37"/>
      <c r="O12" s="37"/>
      <c r="P12" s="27"/>
      <c r="Q12" s="27"/>
      <c r="R12" s="7"/>
      <c r="S12" s="7"/>
      <c r="T12" s="7"/>
      <c r="U12" s="4"/>
      <c r="V12" s="17"/>
      <c r="W12" s="4"/>
      <c r="X12" s="17"/>
    </row>
    <row r="13" spans="1:24" ht="15.75" customHeight="1">
      <c r="A13" s="3"/>
      <c r="B13" s="4"/>
      <c r="C13" s="5"/>
      <c r="D13" s="5"/>
      <c r="E13" s="5"/>
      <c r="F13" s="5"/>
      <c r="G13" s="6"/>
      <c r="H13" s="5"/>
      <c r="I13" s="5"/>
      <c r="J13" s="5"/>
      <c r="K13" s="22"/>
      <c r="M13" s="34"/>
      <c r="N13" s="45" t="s">
        <v>8</v>
      </c>
      <c r="O13" s="46"/>
      <c r="P13" s="46"/>
      <c r="Q13" s="47"/>
      <c r="R13" s="35"/>
      <c r="S13" s="7"/>
      <c r="T13" s="7"/>
      <c r="U13" s="4"/>
      <c r="V13" s="17"/>
      <c r="W13" s="4"/>
      <c r="X13" s="17"/>
    </row>
    <row r="14" spans="1:24" ht="15.75" customHeight="1">
      <c r="A14" s="3"/>
      <c r="B14" s="10"/>
      <c r="C14" s="5"/>
      <c r="D14" s="5"/>
      <c r="E14" s="5"/>
      <c r="F14" s="5"/>
      <c r="G14" s="6"/>
      <c r="H14" s="5"/>
      <c r="I14" s="5"/>
      <c r="J14" s="5"/>
      <c r="K14" s="22"/>
      <c r="L14" s="40"/>
      <c r="M14" s="40"/>
      <c r="N14" s="63" t="s">
        <v>21</v>
      </c>
      <c r="O14" s="54"/>
      <c r="P14" s="53">
        <f>R10+T10</f>
        <v>1000000</v>
      </c>
      <c r="Q14" s="54"/>
      <c r="R14" s="35"/>
      <c r="S14" s="7"/>
      <c r="T14" s="7"/>
      <c r="U14" s="4"/>
      <c r="V14" s="17"/>
      <c r="W14" s="4"/>
      <c r="X14" s="17"/>
    </row>
    <row r="15" spans="1:24" ht="15.75" customHeight="1">
      <c r="A15" s="3"/>
      <c r="B15" s="4"/>
      <c r="C15" s="5"/>
      <c r="D15" s="5"/>
      <c r="E15" s="5"/>
      <c r="F15" s="5"/>
      <c r="G15" s="6"/>
      <c r="H15" s="5"/>
      <c r="I15" s="5"/>
      <c r="J15" s="5"/>
      <c r="K15" s="22"/>
      <c r="L15" s="40"/>
      <c r="M15" s="40"/>
      <c r="N15" s="63" t="s">
        <v>9</v>
      </c>
      <c r="O15" s="54"/>
      <c r="P15" s="53">
        <f>Q10</f>
        <v>330000</v>
      </c>
      <c r="Q15" s="54"/>
      <c r="R15" s="35"/>
      <c r="S15" s="7"/>
      <c r="T15" s="7"/>
      <c r="U15" s="4"/>
      <c r="V15" s="17"/>
      <c r="W15" s="4"/>
      <c r="X15" s="17"/>
    </row>
    <row r="16" spans="1:24" ht="15.75" customHeight="1">
      <c r="A16" s="3"/>
      <c r="B16" s="10"/>
      <c r="C16" s="5"/>
      <c r="D16" s="5"/>
      <c r="E16" s="5"/>
      <c r="F16" s="5"/>
      <c r="G16" s="6"/>
      <c r="H16" s="5"/>
      <c r="I16" s="5"/>
      <c r="J16" s="5"/>
      <c r="K16" s="22" t="s">
        <v>19</v>
      </c>
      <c r="L16" s="40"/>
      <c r="M16" s="40"/>
      <c r="N16" s="64" t="s">
        <v>44</v>
      </c>
      <c r="O16" s="54"/>
      <c r="P16" s="53">
        <f>P15+P14</f>
        <v>1330000</v>
      </c>
      <c r="Q16" s="54"/>
      <c r="R16" s="35"/>
      <c r="S16" s="7"/>
      <c r="T16" s="7"/>
      <c r="U16" s="4"/>
      <c r="V16" s="17"/>
      <c r="W16" s="4"/>
      <c r="X16" s="17"/>
    </row>
    <row r="17" spans="1:24" ht="15.75" customHeight="1">
      <c r="A17" s="3"/>
      <c r="B17" s="4"/>
      <c r="C17" s="5"/>
      <c r="D17" s="5"/>
      <c r="E17" s="5"/>
      <c r="F17" s="5"/>
      <c r="G17" s="6"/>
      <c r="H17" s="5"/>
      <c r="I17" s="5"/>
      <c r="J17" s="5"/>
      <c r="K17" s="5"/>
      <c r="L17" s="38"/>
      <c r="M17" s="39"/>
      <c r="N17" s="39"/>
      <c r="O17" s="39"/>
      <c r="P17" s="29"/>
      <c r="Q17" s="29"/>
      <c r="R17" s="7"/>
      <c r="S17" s="7"/>
      <c r="T17" s="7"/>
      <c r="U17" s="4"/>
      <c r="V17" s="17"/>
      <c r="W17" s="4"/>
      <c r="X17" s="17"/>
    </row>
    <row r="18" spans="1:24" ht="15.75" customHeight="1">
      <c r="A18" s="3"/>
      <c r="B18" s="10"/>
      <c r="C18" s="5"/>
      <c r="D18" s="11"/>
      <c r="E18" s="11"/>
      <c r="F18" s="11"/>
      <c r="G18" s="21"/>
      <c r="H18" s="11"/>
      <c r="I18" s="11"/>
      <c r="J18" s="11"/>
      <c r="K18" s="11"/>
      <c r="L18" s="11"/>
      <c r="M18" s="14"/>
      <c r="N18" s="14"/>
      <c r="O18" s="14"/>
      <c r="P18" s="7"/>
      <c r="Q18" s="7"/>
      <c r="R18" s="7"/>
      <c r="S18" s="7"/>
      <c r="T18" s="7"/>
      <c r="U18" s="9"/>
      <c r="V18" s="15"/>
      <c r="W18" s="9"/>
      <c r="X18" s="15"/>
    </row>
    <row r="19" spans="1:24" ht="15.75" customHeight="1">
      <c r="A19" s="3"/>
      <c r="B19" s="10"/>
      <c r="C19" s="5"/>
      <c r="D19" s="11"/>
      <c r="E19" s="11"/>
      <c r="F19" s="11"/>
      <c r="G19" s="21"/>
      <c r="H19" s="11"/>
      <c r="I19" s="11" t="s">
        <v>23</v>
      </c>
      <c r="J19" s="11"/>
      <c r="K19" s="11">
        <f>COUNTIF(Q5:Q9, " 0")</f>
        <v>0</v>
      </c>
      <c r="L19" s="11"/>
      <c r="M19" s="14"/>
      <c r="N19" s="14"/>
      <c r="O19" s="14"/>
      <c r="P19" s="7"/>
      <c r="Q19" s="7"/>
      <c r="R19" s="7"/>
      <c r="S19" s="7"/>
      <c r="T19" s="7"/>
      <c r="U19" s="9"/>
      <c r="V19" s="15"/>
      <c r="W19" s="9"/>
      <c r="X19" s="15"/>
    </row>
    <row r="20" spans="1:24" ht="15.75" customHeight="1">
      <c r="A20" s="3"/>
      <c r="B20" s="10"/>
      <c r="C20" s="5"/>
      <c r="D20" s="11"/>
      <c r="E20" s="11"/>
      <c r="F20" s="11"/>
      <c r="G20" s="21"/>
      <c r="H20" s="11"/>
      <c r="I20" s="11" t="s">
        <v>25</v>
      </c>
      <c r="J20" s="11"/>
      <c r="K20" s="11">
        <f>COUNTIF(Q5:Q9, "330.000")</f>
        <v>1</v>
      </c>
      <c r="L20" s="11"/>
      <c r="M20" s="14"/>
      <c r="N20" s="14"/>
      <c r="O20" s="14"/>
      <c r="P20" s="7"/>
      <c r="Q20" s="7"/>
      <c r="R20" s="7"/>
      <c r="S20" s="7"/>
      <c r="T20" s="7"/>
      <c r="U20" s="9"/>
      <c r="V20" s="15"/>
      <c r="W20" s="9"/>
      <c r="X20" s="15"/>
    </row>
    <row r="21" spans="1:24" ht="15.75" customHeight="1">
      <c r="A21" s="3"/>
      <c r="B21" s="10"/>
      <c r="C21" s="5"/>
      <c r="D21" s="11"/>
      <c r="E21" s="11"/>
      <c r="F21" s="11"/>
      <c r="G21" s="21"/>
      <c r="H21" s="11"/>
      <c r="I21" s="11" t="s">
        <v>26</v>
      </c>
      <c r="J21" s="11"/>
      <c r="K21" s="11">
        <f>COUNTIF(Q5:Q9, "220.000")</f>
        <v>0</v>
      </c>
      <c r="L21" s="11"/>
      <c r="M21" s="14"/>
      <c r="N21" s="14"/>
      <c r="O21" s="14"/>
      <c r="P21" s="7"/>
      <c r="Q21" s="7"/>
      <c r="R21" s="7"/>
      <c r="S21" s="7"/>
      <c r="T21" s="7"/>
      <c r="U21" s="9"/>
      <c r="V21" s="15"/>
      <c r="W21" s="9"/>
      <c r="X21" s="15"/>
    </row>
    <row r="22" spans="1:24" ht="15.75" customHeight="1">
      <c r="A22" s="3"/>
      <c r="B22" s="10"/>
      <c r="C22" s="5"/>
      <c r="D22" s="11"/>
      <c r="E22" s="11"/>
      <c r="F22" s="11"/>
      <c r="G22" s="21"/>
      <c r="H22" s="11"/>
      <c r="I22" s="11" t="s">
        <v>27</v>
      </c>
      <c r="J22" s="11"/>
      <c r="K22" s="11">
        <f>COUNTIF(Q5:Q9, "165.000")</f>
        <v>0</v>
      </c>
      <c r="L22" s="11"/>
      <c r="M22" s="14"/>
      <c r="N22" s="14"/>
      <c r="O22" s="14"/>
      <c r="P22" s="7"/>
      <c r="Q22" s="7"/>
      <c r="R22" s="7"/>
      <c r="S22" s="7"/>
      <c r="T22" s="7"/>
      <c r="U22" s="9"/>
      <c r="V22" s="15"/>
      <c r="W22" s="9"/>
      <c r="X22" s="15"/>
    </row>
    <row r="23" spans="1:24" ht="15.75" customHeight="1">
      <c r="A23" s="3"/>
      <c r="B23" s="10"/>
      <c r="C23" s="5"/>
      <c r="D23" s="11"/>
      <c r="E23" s="11"/>
      <c r="F23" s="11"/>
      <c r="G23" s="21"/>
      <c r="H23" s="11"/>
      <c r="I23" s="11"/>
      <c r="J23" s="11"/>
      <c r="K23" s="11">
        <f>SUM(K19:K22)</f>
        <v>1</v>
      </c>
      <c r="L23" s="11"/>
      <c r="M23" s="14"/>
      <c r="N23" s="14"/>
      <c r="O23" s="14"/>
      <c r="P23" s="7"/>
      <c r="Q23" s="7"/>
      <c r="R23" s="7"/>
      <c r="S23" s="7"/>
      <c r="T23" s="7"/>
      <c r="U23" s="9"/>
      <c r="V23" s="15"/>
      <c r="W23" s="9"/>
      <c r="X23" s="15"/>
    </row>
    <row r="24" spans="1:24" ht="15.75" customHeight="1">
      <c r="A24" s="3"/>
      <c r="B24" s="10"/>
      <c r="C24" s="5"/>
      <c r="D24" s="11"/>
      <c r="E24" s="11"/>
      <c r="F24" s="11"/>
      <c r="G24" s="21"/>
      <c r="H24" s="11"/>
      <c r="I24" s="11"/>
      <c r="J24" s="11"/>
      <c r="K24" s="11"/>
      <c r="L24" s="11"/>
      <c r="M24" s="14"/>
      <c r="N24" s="14"/>
      <c r="O24" s="14"/>
      <c r="P24" s="7"/>
      <c r="Q24" s="7"/>
      <c r="R24" s="7"/>
      <c r="S24" s="7"/>
      <c r="T24" s="7"/>
      <c r="U24" s="9"/>
      <c r="V24" s="15"/>
      <c r="W24" s="9"/>
      <c r="X24" s="15"/>
    </row>
    <row r="25" spans="1:24" ht="15.75" customHeight="1">
      <c r="A25" s="3"/>
      <c r="B25" s="10"/>
      <c r="C25" s="5"/>
      <c r="D25" s="11"/>
      <c r="E25" s="11"/>
      <c r="F25" s="11"/>
      <c r="G25" s="21"/>
      <c r="H25" s="11"/>
      <c r="I25" s="11"/>
      <c r="J25" s="11"/>
      <c r="K25" s="11"/>
      <c r="L25" s="11"/>
      <c r="M25" s="14"/>
      <c r="N25" s="14"/>
      <c r="O25" s="14"/>
      <c r="P25" s="7"/>
      <c r="Q25" s="7"/>
      <c r="R25" s="7"/>
      <c r="S25" s="7"/>
      <c r="T25" s="7"/>
      <c r="U25" s="9"/>
      <c r="V25" s="15"/>
      <c r="W25" s="9"/>
      <c r="X25" s="15"/>
    </row>
    <row r="26" spans="1:24" ht="15.75" customHeight="1">
      <c r="A26" s="3"/>
      <c r="B26" s="10"/>
      <c r="C26" s="5"/>
      <c r="D26" s="11"/>
      <c r="E26" s="11"/>
      <c r="F26" s="11"/>
      <c r="G26" s="21"/>
      <c r="H26" s="11"/>
      <c r="I26" s="11"/>
      <c r="J26" s="11"/>
      <c r="K26" s="11"/>
      <c r="L26" s="11"/>
      <c r="M26" s="14"/>
      <c r="N26" s="14"/>
      <c r="O26" s="14"/>
      <c r="P26" s="7"/>
      <c r="Q26" s="7"/>
      <c r="R26" s="7"/>
      <c r="S26" s="7"/>
      <c r="T26" s="7"/>
      <c r="U26" s="9"/>
      <c r="V26" s="15"/>
      <c r="W26" s="9"/>
      <c r="X26" s="15"/>
    </row>
    <row r="27" spans="1:24" ht="15.75" customHeight="1">
      <c r="A27" s="3"/>
      <c r="B27" s="10"/>
      <c r="C27" s="5"/>
      <c r="D27" s="11"/>
      <c r="E27" s="11"/>
      <c r="F27" s="11"/>
      <c r="G27" s="21"/>
      <c r="H27" s="11"/>
      <c r="I27" s="11"/>
      <c r="J27" s="11"/>
      <c r="K27" s="11"/>
      <c r="L27" s="11"/>
      <c r="M27" s="14"/>
      <c r="N27" s="14"/>
      <c r="O27" s="14"/>
      <c r="P27" s="7"/>
      <c r="Q27" s="7"/>
      <c r="R27" s="7"/>
      <c r="S27" s="7"/>
      <c r="T27" s="7"/>
      <c r="U27" s="9"/>
      <c r="V27" s="15"/>
      <c r="W27" s="9"/>
      <c r="X27" s="15"/>
    </row>
    <row r="28" spans="1:24" ht="15.75" customHeight="1">
      <c r="A28" s="3"/>
      <c r="B28" s="10"/>
      <c r="C28" s="5"/>
      <c r="D28" s="11"/>
      <c r="E28" s="11"/>
      <c r="F28" s="11"/>
      <c r="G28" s="21"/>
      <c r="H28" s="11"/>
      <c r="I28" s="11"/>
      <c r="J28" s="11"/>
      <c r="K28" s="7"/>
      <c r="L28" s="6"/>
      <c r="M28" s="14"/>
      <c r="N28" s="14"/>
      <c r="O28" s="14"/>
      <c r="P28" s="7"/>
      <c r="Q28" s="7"/>
      <c r="R28" s="7"/>
      <c r="S28" s="7"/>
      <c r="T28" s="7"/>
      <c r="U28" s="9"/>
      <c r="V28" s="15"/>
      <c r="W28" s="9"/>
      <c r="X28" s="15"/>
    </row>
    <row r="29" spans="1:24" ht="15.75" customHeight="1">
      <c r="A29" s="3"/>
      <c r="B29" s="10"/>
      <c r="C29" s="5"/>
      <c r="D29" s="11"/>
      <c r="E29" s="11"/>
      <c r="F29" s="11"/>
      <c r="G29" s="21"/>
      <c r="H29" s="11"/>
      <c r="I29" s="11"/>
      <c r="J29" s="11"/>
      <c r="K29" s="7"/>
      <c r="L29" s="6"/>
      <c r="M29" s="14"/>
      <c r="N29" s="14"/>
      <c r="O29" s="14"/>
      <c r="P29" s="7"/>
      <c r="Q29" s="7"/>
      <c r="R29" s="7"/>
      <c r="S29" s="7"/>
      <c r="T29" s="7"/>
      <c r="U29" s="9"/>
      <c r="V29" s="15"/>
      <c r="W29" s="9"/>
      <c r="X29" s="15"/>
    </row>
    <row r="30" spans="1:24" ht="15.75" customHeight="1">
      <c r="A30" s="3"/>
      <c r="B30" s="10"/>
      <c r="C30" s="5"/>
      <c r="D30" s="11"/>
      <c r="E30" s="11"/>
      <c r="F30" s="11"/>
      <c r="G30" s="21"/>
      <c r="H30" s="11"/>
      <c r="I30" s="11"/>
      <c r="J30" s="11"/>
      <c r="K30" s="7"/>
      <c r="L30" s="6"/>
      <c r="M30" s="14"/>
      <c r="N30" s="14"/>
      <c r="O30" s="14"/>
      <c r="P30" s="7"/>
      <c r="Q30" s="7"/>
      <c r="R30" s="7"/>
      <c r="S30" s="7"/>
      <c r="T30" s="7"/>
      <c r="U30" s="9"/>
      <c r="V30" s="15"/>
      <c r="W30" s="9"/>
      <c r="X30" s="15"/>
    </row>
    <row r="31" spans="1:24" ht="15.75" customHeight="1">
      <c r="A31" s="3"/>
      <c r="B31" s="10"/>
      <c r="C31" s="5"/>
      <c r="D31" s="11"/>
      <c r="E31" s="11"/>
      <c r="F31" s="11"/>
      <c r="G31" s="21"/>
      <c r="H31" s="11"/>
      <c r="I31" s="11"/>
      <c r="J31" s="11"/>
      <c r="K31" s="7"/>
      <c r="L31" s="6"/>
      <c r="M31" s="14"/>
      <c r="N31" s="14"/>
      <c r="O31" s="14"/>
      <c r="P31" s="7"/>
      <c r="Q31" s="7"/>
      <c r="R31" s="7"/>
      <c r="S31" s="7"/>
      <c r="T31" s="7"/>
      <c r="U31" s="9"/>
      <c r="V31" s="15"/>
      <c r="W31" s="9"/>
      <c r="X31" s="15"/>
    </row>
    <row r="32" spans="1:24" ht="15.75" customHeight="1">
      <c r="A32" s="3"/>
      <c r="B32" s="10"/>
      <c r="C32" s="5"/>
      <c r="D32" s="11"/>
      <c r="E32" s="11"/>
      <c r="F32" s="11"/>
      <c r="G32" s="21"/>
      <c r="H32" s="11"/>
      <c r="I32" s="11"/>
      <c r="J32" s="11"/>
      <c r="K32" s="7"/>
      <c r="L32" s="6"/>
      <c r="M32" s="14"/>
      <c r="N32" s="14"/>
      <c r="O32" s="14"/>
      <c r="P32" s="7"/>
      <c r="Q32" s="7"/>
      <c r="R32" s="7"/>
      <c r="S32" s="7"/>
      <c r="T32" s="7"/>
      <c r="U32" s="9"/>
      <c r="V32" s="15"/>
      <c r="W32" s="9"/>
      <c r="X32" s="15"/>
    </row>
    <row r="33" spans="1:24" ht="15.75" customHeight="1">
      <c r="A33" s="3"/>
      <c r="B33" s="10"/>
      <c r="C33" s="5"/>
      <c r="D33" s="11"/>
      <c r="E33" s="11"/>
      <c r="F33" s="11"/>
      <c r="G33" s="21"/>
      <c r="H33" s="11"/>
      <c r="I33" s="11"/>
      <c r="J33" s="11"/>
      <c r="K33" s="7"/>
      <c r="L33" s="6"/>
      <c r="M33" s="14"/>
      <c r="N33" s="14"/>
      <c r="O33" s="14"/>
      <c r="P33" s="7"/>
      <c r="Q33" s="7"/>
      <c r="R33" s="7"/>
      <c r="S33" s="7"/>
      <c r="T33" s="7"/>
      <c r="U33" s="9"/>
      <c r="V33" s="15"/>
      <c r="W33" s="9"/>
      <c r="X33" s="15"/>
    </row>
    <row r="34" spans="1:24" ht="15.75" customHeight="1">
      <c r="A34" s="3"/>
      <c r="B34" s="10"/>
      <c r="C34" s="5"/>
      <c r="D34" s="11"/>
      <c r="E34" s="11"/>
      <c r="F34" s="11"/>
      <c r="G34" s="21"/>
      <c r="H34" s="11"/>
      <c r="I34" s="11"/>
      <c r="J34" s="11"/>
      <c r="K34" s="7"/>
      <c r="L34" s="6"/>
      <c r="M34" s="14"/>
      <c r="N34" s="14"/>
      <c r="O34" s="14"/>
      <c r="P34" s="7"/>
      <c r="Q34" s="7"/>
      <c r="R34" s="7"/>
      <c r="S34" s="7"/>
      <c r="T34" s="7"/>
      <c r="U34" s="9"/>
      <c r="V34" s="15"/>
      <c r="W34" s="9"/>
      <c r="X34" s="15"/>
    </row>
    <row r="35" spans="1:24" ht="15.75" customHeight="1">
      <c r="A35" s="3"/>
      <c r="B35" s="10"/>
      <c r="C35" s="5"/>
      <c r="D35" s="11"/>
      <c r="E35" s="11"/>
      <c r="F35" s="11"/>
      <c r="G35" s="21"/>
      <c r="H35" s="11"/>
      <c r="I35" s="11"/>
      <c r="J35" s="11"/>
      <c r="K35" s="7"/>
      <c r="L35" s="6"/>
      <c r="M35" s="14"/>
      <c r="N35" s="14"/>
      <c r="O35" s="14"/>
      <c r="P35" s="7"/>
      <c r="Q35" s="7"/>
      <c r="R35" s="7"/>
      <c r="S35" s="7"/>
      <c r="T35" s="7"/>
      <c r="U35" s="9"/>
      <c r="V35" s="15"/>
      <c r="W35" s="9"/>
      <c r="X35" s="15"/>
    </row>
    <row r="36" spans="1:24" ht="15.75" customHeight="1">
      <c r="A36" s="3"/>
      <c r="B36" s="10"/>
      <c r="C36" s="5"/>
      <c r="D36" s="11"/>
      <c r="E36" s="11"/>
      <c r="F36" s="11"/>
      <c r="G36" s="21"/>
      <c r="H36" s="11"/>
      <c r="I36" s="11"/>
      <c r="J36" s="11"/>
      <c r="K36" s="7"/>
      <c r="L36" s="6"/>
      <c r="M36" s="14"/>
      <c r="N36" s="14"/>
      <c r="O36" s="14"/>
      <c r="P36" s="7"/>
      <c r="Q36" s="7"/>
      <c r="R36" s="7"/>
      <c r="S36" s="7"/>
      <c r="T36" s="7"/>
      <c r="U36" s="9"/>
      <c r="V36" s="15"/>
      <c r="W36" s="9"/>
      <c r="X36" s="15"/>
    </row>
    <row r="37" spans="1:24" ht="15.75" customHeight="1">
      <c r="A37" s="3"/>
      <c r="B37" s="10"/>
      <c r="C37" s="5"/>
      <c r="D37" s="11"/>
      <c r="E37" s="11"/>
      <c r="F37" s="11"/>
      <c r="G37" s="21"/>
      <c r="H37" s="11"/>
      <c r="I37" s="11"/>
      <c r="J37" s="11"/>
      <c r="K37" s="7"/>
      <c r="L37" s="6"/>
      <c r="M37" s="14"/>
      <c r="N37" s="14"/>
      <c r="O37" s="14"/>
      <c r="P37" s="7"/>
      <c r="Q37" s="7"/>
      <c r="R37" s="7"/>
      <c r="S37" s="7"/>
      <c r="T37" s="7"/>
      <c r="U37" s="9"/>
      <c r="V37" s="15"/>
      <c r="W37" s="9"/>
      <c r="X37" s="15"/>
    </row>
    <row r="38" spans="1:24" ht="15.75" customHeight="1">
      <c r="A38" s="3"/>
      <c r="B38" s="10"/>
      <c r="C38" s="5"/>
      <c r="D38" s="11"/>
      <c r="E38" s="11"/>
      <c r="F38" s="11"/>
      <c r="G38" s="21"/>
      <c r="H38" s="11"/>
      <c r="I38" s="11"/>
      <c r="J38" s="11"/>
      <c r="K38" s="7"/>
      <c r="L38" s="6"/>
      <c r="M38" s="14"/>
      <c r="N38" s="14"/>
      <c r="O38" s="14"/>
      <c r="P38" s="7"/>
      <c r="Q38" s="7"/>
      <c r="R38" s="7"/>
      <c r="S38" s="7"/>
      <c r="T38" s="7"/>
      <c r="U38" s="9"/>
      <c r="V38" s="15"/>
      <c r="W38" s="9"/>
      <c r="X38" s="15"/>
    </row>
    <row r="39" spans="1:24" ht="15.75" customHeight="1">
      <c r="A39" s="3"/>
      <c r="B39" s="10"/>
      <c r="C39" s="5"/>
      <c r="D39" s="11"/>
      <c r="E39" s="11"/>
      <c r="F39" s="11"/>
      <c r="G39" s="21"/>
      <c r="H39" s="11"/>
      <c r="I39" s="11"/>
      <c r="J39" s="11"/>
      <c r="K39" s="7"/>
      <c r="L39" s="6"/>
      <c r="M39" s="14"/>
      <c r="N39" s="14"/>
      <c r="O39" s="14"/>
      <c r="P39" s="7"/>
      <c r="Q39" s="7"/>
      <c r="R39" s="7"/>
      <c r="S39" s="7"/>
      <c r="T39" s="7"/>
      <c r="U39" s="9"/>
      <c r="V39" s="15"/>
      <c r="W39" s="9"/>
      <c r="X39" s="15"/>
    </row>
    <row r="40" spans="1:24" ht="15.75" customHeight="1">
      <c r="A40" s="3"/>
      <c r="B40" s="10"/>
      <c r="C40" s="5"/>
      <c r="D40" s="11"/>
      <c r="E40" s="11"/>
      <c r="F40" s="11"/>
      <c r="G40" s="21"/>
      <c r="H40" s="11"/>
      <c r="I40" s="11"/>
      <c r="J40" s="11"/>
      <c r="K40" s="7"/>
      <c r="L40" s="6"/>
      <c r="M40" s="14"/>
      <c r="N40" s="14"/>
      <c r="O40" s="14"/>
      <c r="P40" s="7"/>
      <c r="Q40" s="7"/>
      <c r="R40" s="7"/>
      <c r="S40" s="7"/>
      <c r="T40" s="7"/>
      <c r="U40" s="9"/>
      <c r="V40" s="15"/>
      <c r="W40" s="9"/>
      <c r="X40" s="15"/>
    </row>
    <row r="41" spans="1:24" ht="15.75" customHeight="1">
      <c r="A41" s="3"/>
      <c r="B41" s="10"/>
      <c r="C41" s="5"/>
      <c r="D41" s="11"/>
      <c r="E41" s="11"/>
      <c r="F41" s="11"/>
      <c r="G41" s="21"/>
      <c r="H41" s="11"/>
      <c r="I41" s="11"/>
      <c r="J41" s="11"/>
      <c r="K41" s="7"/>
      <c r="L41" s="6"/>
      <c r="M41" s="14"/>
      <c r="N41" s="14"/>
      <c r="O41" s="14"/>
      <c r="P41" s="7"/>
      <c r="Q41" s="7"/>
      <c r="R41" s="7"/>
      <c r="S41" s="7"/>
      <c r="T41" s="7"/>
      <c r="U41" s="9"/>
      <c r="V41" s="15"/>
      <c r="W41" s="9"/>
      <c r="X41" s="15"/>
    </row>
    <row r="42" spans="1:24" ht="15.75" customHeight="1">
      <c r="A42" s="3"/>
      <c r="B42" s="10"/>
      <c r="C42" s="5"/>
      <c r="D42" s="11"/>
      <c r="E42" s="11"/>
      <c r="F42" s="11"/>
      <c r="G42" s="21"/>
      <c r="H42" s="11"/>
      <c r="I42" s="11"/>
      <c r="J42" s="11"/>
      <c r="K42" s="7"/>
      <c r="L42" s="6" t="s">
        <v>24</v>
      </c>
      <c r="M42" s="14"/>
      <c r="N42" s="14"/>
      <c r="O42" s="14"/>
      <c r="P42" s="7"/>
      <c r="Q42" s="7"/>
      <c r="R42" s="7"/>
      <c r="S42" s="7"/>
      <c r="T42" s="7"/>
      <c r="U42" s="9"/>
      <c r="V42" s="15"/>
      <c r="W42" s="9"/>
      <c r="X42" s="15"/>
    </row>
    <row r="43" spans="1:24" ht="15.75" customHeight="1">
      <c r="A43" s="3"/>
      <c r="B43" s="10"/>
      <c r="C43" s="5"/>
      <c r="D43" s="11"/>
      <c r="E43" s="11"/>
      <c r="F43" s="11"/>
      <c r="G43" s="21"/>
      <c r="H43" s="11"/>
      <c r="I43" s="11"/>
      <c r="J43" s="11"/>
      <c r="K43" s="7"/>
      <c r="L43" s="6"/>
      <c r="M43" s="14"/>
      <c r="N43" s="14"/>
      <c r="O43" s="14"/>
      <c r="P43" s="7"/>
      <c r="Q43" s="7"/>
      <c r="R43" s="7"/>
      <c r="S43" s="7"/>
      <c r="T43" s="7"/>
      <c r="U43" s="9"/>
      <c r="V43" s="15"/>
      <c r="W43" s="9"/>
      <c r="X43" s="15"/>
    </row>
    <row r="44" spans="1:24" ht="15.75" customHeight="1">
      <c r="A44" s="3"/>
      <c r="B44" s="10"/>
      <c r="C44" s="5"/>
      <c r="D44" s="11"/>
      <c r="E44" s="11"/>
      <c r="F44" s="11"/>
      <c r="G44" s="21"/>
      <c r="H44" s="11"/>
      <c r="I44" s="11"/>
      <c r="J44" s="11"/>
      <c r="K44" s="11"/>
      <c r="L44" s="11"/>
      <c r="M44" s="14"/>
      <c r="N44" s="14"/>
      <c r="O44" s="14"/>
      <c r="P44" s="7"/>
      <c r="Q44" s="7"/>
      <c r="R44" s="7"/>
      <c r="S44" s="7"/>
      <c r="T44" s="7"/>
      <c r="U44" s="9"/>
      <c r="V44" s="15"/>
      <c r="W44" s="9"/>
      <c r="X44" s="15"/>
    </row>
    <row r="45" spans="1:24" ht="15.75" customHeight="1">
      <c r="A45" s="3"/>
      <c r="B45" s="10"/>
      <c r="C45" s="5"/>
      <c r="D45" s="11"/>
      <c r="E45" s="11"/>
      <c r="F45" s="11"/>
      <c r="G45" s="21"/>
      <c r="H45" s="11"/>
      <c r="I45" s="11"/>
      <c r="J45" s="11"/>
      <c r="K45" s="11"/>
      <c r="L45" s="11"/>
      <c r="M45" s="14"/>
      <c r="N45" s="14"/>
      <c r="O45" s="14"/>
      <c r="P45" s="7"/>
      <c r="Q45" s="7"/>
      <c r="R45" s="7"/>
      <c r="S45" s="7"/>
      <c r="T45" s="7"/>
      <c r="U45" s="9"/>
      <c r="V45" s="15"/>
      <c r="W45" s="9"/>
      <c r="X45" s="15"/>
    </row>
    <row r="46" spans="1:24" ht="15.75" customHeight="1">
      <c r="A46" s="3"/>
      <c r="B46" s="10"/>
      <c r="C46" s="5"/>
      <c r="D46" s="11"/>
      <c r="E46" s="11"/>
      <c r="F46" s="11"/>
      <c r="G46" s="21"/>
      <c r="H46" s="11"/>
      <c r="I46" s="11"/>
      <c r="J46" s="11"/>
      <c r="K46" s="11"/>
      <c r="L46" s="11"/>
      <c r="M46" s="14"/>
      <c r="N46" s="14"/>
      <c r="O46" s="14"/>
      <c r="P46" s="7"/>
      <c r="Q46" s="7"/>
      <c r="R46" s="7"/>
      <c r="S46" s="7"/>
      <c r="T46" s="7"/>
      <c r="U46" s="9"/>
      <c r="V46" s="15"/>
      <c r="W46" s="9"/>
      <c r="X46" s="15"/>
    </row>
    <row r="47" spans="1:24" ht="15.75" customHeight="1">
      <c r="A47" s="3"/>
      <c r="B47" s="10"/>
      <c r="C47" s="5"/>
      <c r="D47" s="11"/>
      <c r="E47" s="11"/>
      <c r="F47" s="11"/>
      <c r="G47" s="21"/>
      <c r="H47" s="11"/>
      <c r="I47" s="11"/>
      <c r="J47" s="11"/>
      <c r="K47" s="11"/>
      <c r="L47" s="11"/>
      <c r="M47" s="14"/>
      <c r="N47" s="14"/>
      <c r="O47" s="14"/>
      <c r="P47" s="7"/>
      <c r="Q47" s="7"/>
      <c r="R47" s="7"/>
      <c r="S47" s="7"/>
      <c r="T47" s="7"/>
      <c r="U47" s="9"/>
      <c r="V47" s="15"/>
      <c r="W47" s="9"/>
      <c r="X47" s="15"/>
    </row>
    <row r="48" spans="1:24" ht="15.75" customHeight="1">
      <c r="A48" s="3"/>
      <c r="B48" s="10"/>
      <c r="C48" s="5"/>
      <c r="D48" s="11"/>
      <c r="E48" s="11"/>
      <c r="F48" s="11"/>
      <c r="G48" s="21"/>
      <c r="H48" s="11"/>
      <c r="I48" s="11"/>
      <c r="J48" s="11"/>
      <c r="K48" s="11"/>
      <c r="L48" s="11"/>
      <c r="M48" s="14"/>
      <c r="N48" s="14"/>
      <c r="O48" s="14"/>
      <c r="P48" s="7"/>
      <c r="Q48" s="7"/>
      <c r="R48" s="7"/>
      <c r="S48" s="7"/>
      <c r="T48" s="7"/>
      <c r="U48" s="9"/>
      <c r="V48" s="15"/>
      <c r="W48" s="9"/>
      <c r="X48" s="15"/>
    </row>
    <row r="49" spans="1:24" ht="15.75" customHeight="1">
      <c r="A49" s="3"/>
      <c r="B49" s="10"/>
      <c r="C49" s="5"/>
      <c r="D49" s="11"/>
      <c r="E49" s="11"/>
      <c r="F49" s="11"/>
      <c r="G49" s="21"/>
      <c r="H49" s="11"/>
      <c r="I49" s="11"/>
      <c r="J49" s="11"/>
      <c r="K49" s="11"/>
      <c r="L49" s="11"/>
      <c r="M49" s="14"/>
      <c r="N49" s="14"/>
      <c r="O49" s="14"/>
      <c r="P49" s="7"/>
      <c r="Q49" s="7"/>
      <c r="R49" s="7"/>
      <c r="S49" s="7"/>
      <c r="T49" s="7"/>
      <c r="U49" s="9"/>
      <c r="V49" s="15"/>
      <c r="W49" s="9"/>
      <c r="X49" s="15"/>
    </row>
    <row r="50" spans="1:24" ht="15.75" customHeight="1">
      <c r="A50" s="3"/>
      <c r="B50" s="10"/>
      <c r="C50" s="5"/>
      <c r="D50" s="11"/>
      <c r="E50" s="11"/>
      <c r="F50" s="11"/>
      <c r="G50" s="21"/>
      <c r="H50" s="11"/>
      <c r="I50" s="11"/>
      <c r="J50" s="11"/>
      <c r="K50" s="11"/>
      <c r="L50" s="11"/>
      <c r="M50" s="14"/>
      <c r="N50" s="14"/>
      <c r="O50" s="14"/>
      <c r="P50" s="7"/>
      <c r="Q50" s="7"/>
      <c r="R50" s="7"/>
      <c r="S50" s="7"/>
      <c r="T50" s="7"/>
      <c r="U50" s="9"/>
      <c r="V50" s="15"/>
      <c r="W50" s="9"/>
      <c r="X50" s="15"/>
    </row>
    <row r="51" spans="1:24" ht="15.75" customHeight="1">
      <c r="A51" s="3"/>
      <c r="B51" s="10"/>
      <c r="C51" s="5"/>
      <c r="D51" s="11"/>
      <c r="E51" s="11"/>
      <c r="F51" s="11"/>
      <c r="G51" s="21"/>
      <c r="H51" s="11"/>
      <c r="I51" s="11"/>
      <c r="J51" s="11"/>
      <c r="K51" s="11"/>
      <c r="L51" s="11"/>
      <c r="M51" s="14"/>
      <c r="N51" s="14"/>
      <c r="O51" s="14"/>
      <c r="P51" s="7"/>
      <c r="Q51" s="7"/>
      <c r="R51" s="7"/>
      <c r="S51" s="7"/>
      <c r="T51" s="7"/>
      <c r="U51" s="9"/>
      <c r="V51" s="15"/>
      <c r="W51" s="9"/>
      <c r="X51" s="15"/>
    </row>
    <row r="52" spans="1:24" ht="15.75" customHeight="1">
      <c r="A52" s="3"/>
      <c r="B52" s="10"/>
      <c r="C52" s="5"/>
      <c r="D52" s="11"/>
      <c r="E52" s="11"/>
      <c r="F52" s="11"/>
      <c r="G52" s="21"/>
      <c r="H52" s="11"/>
      <c r="I52" s="11"/>
      <c r="J52" s="11"/>
      <c r="K52" s="11"/>
      <c r="L52" s="11"/>
      <c r="M52" s="14"/>
      <c r="N52" s="14"/>
      <c r="O52" s="14"/>
      <c r="P52" s="7"/>
      <c r="Q52" s="7"/>
      <c r="R52" s="7"/>
      <c r="S52" s="7"/>
      <c r="T52" s="7"/>
      <c r="U52" s="9"/>
      <c r="V52" s="15"/>
      <c r="W52" s="9"/>
      <c r="X52" s="15"/>
    </row>
    <row r="53" spans="1:24" ht="15.75" customHeight="1">
      <c r="A53" s="3"/>
      <c r="B53" s="10"/>
      <c r="C53" s="5"/>
      <c r="D53" s="11"/>
      <c r="E53" s="11"/>
      <c r="F53" s="11"/>
      <c r="G53" s="21"/>
      <c r="H53" s="11"/>
      <c r="I53" s="11"/>
      <c r="J53" s="11"/>
      <c r="K53" s="11"/>
      <c r="L53" s="11"/>
      <c r="M53" s="14"/>
      <c r="N53" s="14"/>
      <c r="O53" s="14"/>
      <c r="P53" s="7"/>
      <c r="Q53" s="7"/>
      <c r="R53" s="7"/>
      <c r="S53" s="7"/>
      <c r="T53" s="7"/>
      <c r="U53" s="9"/>
      <c r="V53" s="15"/>
      <c r="W53" s="9"/>
      <c r="X53" s="15"/>
    </row>
    <row r="54" spans="1:24" ht="15.75" customHeight="1">
      <c r="A54" s="3"/>
      <c r="B54" s="10"/>
      <c r="C54" s="5"/>
      <c r="D54" s="11"/>
      <c r="E54" s="11"/>
      <c r="F54" s="11"/>
      <c r="G54" s="21"/>
      <c r="H54" s="11"/>
      <c r="I54" s="11"/>
      <c r="J54" s="11"/>
      <c r="K54" s="11"/>
      <c r="L54" s="11"/>
      <c r="M54" s="14"/>
      <c r="N54" s="14"/>
      <c r="O54" s="14"/>
      <c r="P54" s="7"/>
      <c r="Q54" s="7"/>
      <c r="R54" s="7"/>
      <c r="S54" s="7"/>
      <c r="T54" s="7"/>
      <c r="U54" s="9"/>
      <c r="V54" s="15"/>
      <c r="W54" s="9"/>
      <c r="X54" s="15"/>
    </row>
    <row r="55" spans="1:24" ht="15.75" customHeight="1">
      <c r="A55" s="3"/>
      <c r="B55" s="10"/>
      <c r="C55" s="5"/>
      <c r="D55" s="11"/>
      <c r="E55" s="11"/>
      <c r="F55" s="11"/>
      <c r="G55" s="21"/>
      <c r="H55" s="11"/>
      <c r="I55" s="11"/>
      <c r="J55" s="11"/>
      <c r="K55" s="11"/>
      <c r="L55" s="11"/>
      <c r="M55" s="14"/>
      <c r="N55" s="14"/>
      <c r="O55" s="14"/>
      <c r="P55" s="7"/>
      <c r="Q55" s="7"/>
      <c r="R55" s="7"/>
      <c r="S55" s="7"/>
      <c r="T55" s="7"/>
      <c r="U55" s="9"/>
      <c r="V55" s="15"/>
      <c r="W55" s="9"/>
      <c r="X55" s="15"/>
    </row>
    <row r="56" spans="1:24" ht="15.75" customHeight="1">
      <c r="A56" s="3"/>
      <c r="B56" s="10"/>
      <c r="C56" s="5"/>
      <c r="D56" s="11"/>
      <c r="E56" s="11"/>
      <c r="F56" s="11"/>
      <c r="G56" s="21"/>
      <c r="H56" s="11"/>
      <c r="I56" s="11"/>
      <c r="J56" s="11"/>
      <c r="K56" s="11"/>
      <c r="L56" s="11"/>
      <c r="M56" s="14"/>
      <c r="N56" s="14"/>
      <c r="O56" s="14"/>
      <c r="P56" s="7"/>
      <c r="Q56" s="7"/>
      <c r="R56" s="7"/>
      <c r="S56" s="7"/>
      <c r="T56" s="7"/>
      <c r="U56" s="9"/>
      <c r="V56" s="15"/>
      <c r="W56" s="9"/>
      <c r="X56" s="15"/>
    </row>
    <row r="57" spans="1:24" ht="15.75" customHeight="1">
      <c r="A57" s="3"/>
      <c r="B57" s="10"/>
      <c r="C57" s="5"/>
      <c r="D57" s="11"/>
      <c r="E57" s="11"/>
      <c r="F57" s="11"/>
      <c r="G57" s="21"/>
      <c r="H57" s="11"/>
      <c r="I57" s="11"/>
      <c r="J57" s="11"/>
      <c r="K57" s="11"/>
      <c r="L57" s="11"/>
      <c r="M57" s="14"/>
      <c r="N57" s="14"/>
      <c r="O57" s="14"/>
      <c r="P57" s="7"/>
      <c r="Q57" s="7"/>
      <c r="R57" s="7"/>
      <c r="S57" s="7"/>
      <c r="T57" s="7"/>
      <c r="U57" s="9"/>
      <c r="V57" s="15"/>
      <c r="W57" s="9"/>
      <c r="X57" s="15"/>
    </row>
    <row r="58" spans="1:24" ht="15.75" customHeight="1">
      <c r="A58" s="3"/>
      <c r="B58" s="10"/>
      <c r="C58" s="5"/>
      <c r="D58" s="11"/>
      <c r="E58" s="11"/>
      <c r="F58" s="11"/>
      <c r="G58" s="21"/>
      <c r="H58" s="11"/>
      <c r="I58" s="11"/>
      <c r="J58" s="11"/>
      <c r="K58" s="11"/>
      <c r="L58" s="11"/>
      <c r="M58" s="14"/>
      <c r="N58" s="14"/>
      <c r="O58" s="14"/>
      <c r="P58" s="7"/>
      <c r="Q58" s="7"/>
      <c r="R58" s="7"/>
      <c r="S58" s="7"/>
      <c r="T58" s="7"/>
      <c r="U58" s="9"/>
      <c r="V58" s="15"/>
      <c r="W58" s="9"/>
      <c r="X58" s="15"/>
    </row>
    <row r="59" spans="1:24" ht="15.75" customHeight="1">
      <c r="A59" s="3"/>
      <c r="B59" s="10"/>
      <c r="C59" s="5"/>
      <c r="D59" s="11"/>
      <c r="E59" s="11"/>
      <c r="F59" s="11"/>
      <c r="G59" s="21"/>
      <c r="H59" s="11"/>
      <c r="I59" s="11"/>
      <c r="J59" s="11"/>
      <c r="K59" s="11"/>
      <c r="L59" s="11"/>
      <c r="M59" s="14"/>
      <c r="N59" s="14"/>
      <c r="O59" s="14"/>
      <c r="P59" s="7"/>
      <c r="Q59" s="7"/>
      <c r="R59" s="7"/>
      <c r="S59" s="7"/>
      <c r="T59" s="7"/>
      <c r="U59" s="9"/>
      <c r="V59" s="15"/>
      <c r="W59" s="9"/>
      <c r="X59" s="15"/>
    </row>
    <row r="60" spans="1:24" ht="15.75" customHeight="1">
      <c r="A60" s="3"/>
      <c r="B60" s="10"/>
      <c r="C60" s="5"/>
      <c r="D60" s="11"/>
      <c r="E60" s="11"/>
      <c r="F60" s="11"/>
      <c r="G60" s="21"/>
      <c r="H60" s="11"/>
      <c r="I60" s="11"/>
      <c r="J60" s="11"/>
      <c r="K60" s="11"/>
      <c r="L60" s="11"/>
      <c r="M60" s="14"/>
      <c r="N60" s="14"/>
      <c r="O60" s="14"/>
      <c r="P60" s="7"/>
      <c r="Q60" s="7"/>
      <c r="R60" s="7"/>
      <c r="S60" s="7"/>
      <c r="T60" s="7"/>
      <c r="U60" s="9"/>
      <c r="V60" s="15"/>
      <c r="W60" s="9"/>
      <c r="X60" s="15"/>
    </row>
    <row r="61" spans="1:24" ht="15.75" customHeight="1">
      <c r="A61" s="3"/>
      <c r="B61" s="10"/>
      <c r="C61" s="5"/>
      <c r="D61" s="11"/>
      <c r="E61" s="11"/>
      <c r="F61" s="11"/>
      <c r="G61" s="21"/>
      <c r="H61" s="11"/>
      <c r="I61" s="11"/>
      <c r="J61" s="11"/>
      <c r="K61" s="11"/>
      <c r="L61" s="11"/>
      <c r="M61" s="14"/>
      <c r="N61" s="14"/>
      <c r="O61" s="14"/>
      <c r="P61" s="7"/>
      <c r="Q61" s="7"/>
      <c r="R61" s="7"/>
      <c r="S61" s="7"/>
      <c r="T61" s="7"/>
      <c r="U61" s="9"/>
      <c r="V61" s="15"/>
      <c r="W61" s="9"/>
      <c r="X61" s="15"/>
    </row>
    <row r="62" spans="1:24" ht="15.75" customHeight="1">
      <c r="A62" s="3"/>
      <c r="B62" s="10"/>
      <c r="C62" s="5"/>
      <c r="D62" s="11"/>
      <c r="E62" s="11"/>
      <c r="F62" s="11"/>
      <c r="G62" s="21"/>
      <c r="H62" s="11"/>
      <c r="I62" s="11"/>
      <c r="J62" s="11"/>
      <c r="K62" s="11"/>
      <c r="L62" s="11"/>
      <c r="M62" s="14"/>
      <c r="N62" s="14"/>
      <c r="O62" s="14"/>
      <c r="P62" s="7"/>
      <c r="Q62" s="7"/>
      <c r="R62" s="7"/>
      <c r="S62" s="7"/>
      <c r="T62" s="7"/>
      <c r="U62" s="9"/>
      <c r="V62" s="15"/>
      <c r="W62" s="9"/>
      <c r="X62" s="15"/>
    </row>
    <row r="63" spans="1:24" ht="15.75" customHeight="1">
      <c r="A63" s="3"/>
      <c r="B63" s="10"/>
      <c r="C63" s="5"/>
      <c r="D63" s="11"/>
      <c r="E63" s="11"/>
      <c r="F63" s="11"/>
      <c r="G63" s="21"/>
      <c r="H63" s="11"/>
      <c r="I63" s="11"/>
      <c r="J63" s="11"/>
      <c r="K63" s="11"/>
      <c r="L63" s="11"/>
      <c r="M63" s="14"/>
      <c r="N63" s="14"/>
      <c r="O63" s="14"/>
      <c r="P63" s="7"/>
      <c r="Q63" s="7"/>
      <c r="R63" s="7"/>
      <c r="S63" s="7"/>
      <c r="T63" s="7"/>
      <c r="U63" s="9"/>
      <c r="V63" s="15"/>
      <c r="W63" s="9"/>
      <c r="X63" s="15"/>
    </row>
    <row r="64" spans="1:24" ht="15.75" customHeight="1">
      <c r="A64" s="3"/>
      <c r="B64" s="10"/>
      <c r="C64" s="5"/>
      <c r="D64" s="11"/>
      <c r="E64" s="11"/>
      <c r="F64" s="11"/>
      <c r="G64" s="21"/>
      <c r="H64" s="11"/>
      <c r="I64" s="11"/>
      <c r="J64" s="11"/>
      <c r="K64" s="11"/>
      <c r="L64" s="11"/>
      <c r="M64" s="14"/>
      <c r="N64" s="14"/>
      <c r="O64" s="14"/>
      <c r="P64" s="7"/>
      <c r="Q64" s="7"/>
      <c r="R64" s="7"/>
      <c r="S64" s="7"/>
      <c r="T64" s="7"/>
      <c r="U64" s="9"/>
      <c r="V64" s="15"/>
      <c r="W64" s="9"/>
      <c r="X64" s="15"/>
    </row>
    <row r="65" spans="1:24" ht="15.75" customHeight="1">
      <c r="A65" s="3"/>
      <c r="B65" s="10"/>
      <c r="C65" s="5"/>
      <c r="D65" s="11"/>
      <c r="E65" s="11"/>
      <c r="F65" s="11"/>
      <c r="G65" s="21"/>
      <c r="H65" s="11"/>
      <c r="I65" s="11"/>
      <c r="J65" s="11"/>
      <c r="K65" s="11"/>
      <c r="L65" s="11"/>
      <c r="M65" s="14"/>
      <c r="N65" s="14"/>
      <c r="O65" s="14"/>
      <c r="P65" s="7"/>
      <c r="Q65" s="7"/>
      <c r="R65" s="7"/>
      <c r="S65" s="7"/>
      <c r="T65" s="7"/>
      <c r="U65" s="9"/>
      <c r="V65" s="15"/>
      <c r="W65" s="9"/>
      <c r="X65" s="15"/>
    </row>
    <row r="66" spans="1:24" ht="15.75" customHeight="1">
      <c r="A66" s="3"/>
      <c r="B66" s="10"/>
      <c r="C66" s="5"/>
      <c r="D66" s="11"/>
      <c r="E66" s="11"/>
      <c r="F66" s="11"/>
      <c r="G66" s="21"/>
      <c r="H66" s="11"/>
      <c r="I66" s="11"/>
      <c r="J66" s="11"/>
      <c r="K66" s="11"/>
      <c r="L66" s="11"/>
      <c r="M66" s="14"/>
      <c r="N66" s="14"/>
      <c r="O66" s="14"/>
      <c r="P66" s="7"/>
      <c r="Q66" s="7"/>
      <c r="R66" s="7"/>
      <c r="S66" s="7"/>
      <c r="T66" s="7"/>
      <c r="U66" s="9"/>
      <c r="V66" s="15"/>
      <c r="W66" s="9"/>
      <c r="X66" s="15"/>
    </row>
    <row r="67" spans="1:24" ht="15.75" customHeight="1">
      <c r="A67" s="3"/>
      <c r="B67" s="10"/>
      <c r="C67" s="5"/>
      <c r="D67" s="11"/>
      <c r="E67" s="11"/>
      <c r="F67" s="11"/>
      <c r="G67" s="21"/>
      <c r="H67" s="11"/>
      <c r="I67" s="11"/>
      <c r="J67" s="11"/>
      <c r="K67" s="11"/>
      <c r="L67" s="11"/>
      <c r="M67" s="14"/>
      <c r="N67" s="14"/>
      <c r="O67" s="14"/>
      <c r="P67" s="7"/>
      <c r="Q67" s="7"/>
      <c r="R67" s="7"/>
      <c r="S67" s="7"/>
      <c r="T67" s="7"/>
      <c r="U67" s="9"/>
      <c r="V67" s="15"/>
      <c r="W67" s="9"/>
      <c r="X67" s="15"/>
    </row>
    <row r="68" spans="1:24" ht="15.75" customHeight="1">
      <c r="A68" s="3"/>
      <c r="B68" s="10"/>
      <c r="C68" s="5"/>
      <c r="D68" s="11"/>
      <c r="E68" s="11"/>
      <c r="F68" s="11"/>
      <c r="G68" s="21"/>
      <c r="H68" s="11"/>
      <c r="I68" s="11"/>
      <c r="J68" s="11"/>
      <c r="K68" s="11"/>
      <c r="L68" s="11"/>
      <c r="M68" s="14"/>
      <c r="N68" s="14"/>
      <c r="O68" s="14"/>
      <c r="P68" s="7"/>
      <c r="Q68" s="7"/>
      <c r="R68" s="7"/>
      <c r="S68" s="7"/>
      <c r="T68" s="7"/>
      <c r="U68" s="9"/>
      <c r="V68" s="15"/>
      <c r="W68" s="9"/>
      <c r="X68" s="15"/>
    </row>
    <row r="69" spans="1:24" ht="15.75" customHeight="1">
      <c r="A69" s="3"/>
      <c r="B69" s="10"/>
      <c r="C69" s="5"/>
      <c r="D69" s="11"/>
      <c r="E69" s="11"/>
      <c r="F69" s="11"/>
      <c r="G69" s="21"/>
      <c r="H69" s="11"/>
      <c r="I69" s="11"/>
      <c r="J69" s="11"/>
      <c r="K69" s="11"/>
      <c r="L69" s="11"/>
      <c r="M69" s="14"/>
      <c r="N69" s="14"/>
      <c r="O69" s="14"/>
      <c r="P69" s="7"/>
      <c r="Q69" s="7"/>
      <c r="R69" s="7"/>
      <c r="S69" s="7"/>
      <c r="T69" s="7"/>
      <c r="U69" s="9"/>
      <c r="V69" s="15"/>
      <c r="W69" s="9"/>
      <c r="X69" s="15"/>
    </row>
    <row r="70" spans="1:24" ht="15.75" customHeight="1">
      <c r="A70" s="3"/>
      <c r="B70" s="10"/>
      <c r="C70" s="5"/>
      <c r="D70" s="11"/>
      <c r="E70" s="11"/>
      <c r="F70" s="11"/>
      <c r="G70" s="21"/>
      <c r="H70" s="11"/>
      <c r="I70" s="11"/>
      <c r="J70" s="11"/>
      <c r="K70" s="11"/>
      <c r="L70" s="11"/>
      <c r="M70" s="14"/>
      <c r="N70" s="14"/>
      <c r="O70" s="14"/>
      <c r="P70" s="7"/>
      <c r="Q70" s="7"/>
      <c r="R70" s="7"/>
      <c r="S70" s="7"/>
      <c r="T70" s="7"/>
      <c r="U70" s="9"/>
      <c r="V70" s="15"/>
      <c r="W70" s="9"/>
      <c r="X70" s="15"/>
    </row>
    <row r="71" spans="1:24" ht="15.75" customHeight="1">
      <c r="A71" s="3"/>
      <c r="B71" s="10"/>
      <c r="C71" s="5"/>
      <c r="D71" s="11"/>
      <c r="E71" s="11"/>
      <c r="F71" s="11"/>
      <c r="G71" s="21"/>
      <c r="H71" s="11"/>
      <c r="I71" s="11"/>
      <c r="J71" s="11"/>
      <c r="K71" s="58"/>
      <c r="L71" s="59"/>
      <c r="M71" s="14"/>
      <c r="N71" s="14"/>
      <c r="O71" s="14"/>
      <c r="P71" s="7"/>
      <c r="Q71" s="7"/>
      <c r="R71" s="7"/>
      <c r="S71" s="7"/>
      <c r="T71" s="7"/>
      <c r="U71" s="9"/>
      <c r="V71" s="15"/>
      <c r="W71" s="9"/>
      <c r="X71" s="15"/>
    </row>
    <row r="72" spans="1:24" ht="15.75" customHeight="1">
      <c r="A72" s="3"/>
      <c r="B72" s="10"/>
      <c r="C72" s="5"/>
      <c r="D72" s="11"/>
      <c r="E72" s="11"/>
      <c r="F72" s="11"/>
      <c r="G72" s="21"/>
      <c r="H72" s="11"/>
      <c r="I72" s="11"/>
      <c r="J72" s="11"/>
      <c r="K72" s="11"/>
      <c r="L72" s="11"/>
      <c r="M72" s="14"/>
      <c r="N72" s="14"/>
      <c r="O72" s="14"/>
      <c r="P72" s="7"/>
      <c r="Q72" s="7"/>
      <c r="R72" s="7"/>
      <c r="S72" s="7"/>
      <c r="T72" s="7"/>
      <c r="U72" s="9"/>
      <c r="V72" s="15"/>
      <c r="W72" s="9"/>
      <c r="X72" s="15"/>
    </row>
    <row r="73" spans="1:24" ht="15.75" customHeight="1">
      <c r="A73" s="3"/>
      <c r="B73" s="10"/>
      <c r="C73" s="5"/>
      <c r="D73" s="11"/>
      <c r="E73" s="11"/>
      <c r="F73" s="11"/>
      <c r="G73" s="21"/>
      <c r="H73" s="11"/>
      <c r="I73" s="11"/>
      <c r="J73" s="11"/>
      <c r="K73" s="11"/>
      <c r="L73" s="11"/>
      <c r="M73" s="14"/>
      <c r="N73" s="14"/>
      <c r="O73" s="14"/>
      <c r="P73" s="7"/>
      <c r="Q73" s="7"/>
      <c r="R73" s="7"/>
      <c r="S73" s="7"/>
      <c r="T73" s="7"/>
      <c r="U73" s="9"/>
      <c r="V73" s="15"/>
      <c r="W73" s="9"/>
      <c r="X73" s="15"/>
    </row>
    <row r="74" spans="1:24" ht="15.75" customHeight="1">
      <c r="A74" s="3"/>
      <c r="B74" s="10"/>
      <c r="C74" s="5"/>
      <c r="D74" s="11"/>
      <c r="E74" s="11"/>
      <c r="F74" s="11"/>
      <c r="G74" s="21"/>
      <c r="H74" s="11"/>
      <c r="I74" s="11"/>
      <c r="J74" s="11"/>
      <c r="K74" s="11"/>
      <c r="L74" s="11"/>
      <c r="M74" s="14"/>
      <c r="N74" s="14"/>
      <c r="O74" s="14"/>
      <c r="P74" s="7"/>
      <c r="Q74" s="7"/>
      <c r="R74" s="7"/>
      <c r="S74" s="7"/>
      <c r="T74" s="7"/>
      <c r="U74" s="9"/>
      <c r="V74" s="15"/>
      <c r="W74" s="9"/>
      <c r="X74" s="15"/>
    </row>
    <row r="75" spans="1:24" ht="15.75" customHeight="1">
      <c r="A75" s="3"/>
      <c r="B75" s="10"/>
      <c r="C75" s="5"/>
      <c r="D75" s="11"/>
      <c r="E75" s="11"/>
      <c r="F75" s="11"/>
      <c r="G75" s="21"/>
      <c r="H75" s="11"/>
      <c r="I75" s="11"/>
      <c r="J75" s="11"/>
      <c r="K75" s="11"/>
      <c r="L75" s="11"/>
      <c r="M75" s="14"/>
      <c r="N75" s="14"/>
      <c r="O75" s="14"/>
      <c r="P75" s="7"/>
      <c r="Q75" s="7"/>
      <c r="R75" s="7"/>
      <c r="S75" s="7"/>
      <c r="T75" s="7"/>
      <c r="U75" s="9"/>
      <c r="V75" s="15"/>
      <c r="W75" s="9"/>
      <c r="X75" s="15"/>
    </row>
    <row r="76" spans="1:24" ht="15.75" customHeight="1">
      <c r="A76" s="3"/>
      <c r="B76" s="10"/>
      <c r="C76" s="5"/>
      <c r="D76" s="11"/>
      <c r="E76" s="11"/>
      <c r="F76" s="11"/>
      <c r="G76" s="21"/>
      <c r="H76" s="11"/>
      <c r="I76" s="11"/>
      <c r="J76" s="11"/>
      <c r="K76" s="11"/>
      <c r="L76" s="11"/>
      <c r="M76" s="14"/>
      <c r="N76" s="14"/>
      <c r="O76" s="14"/>
      <c r="P76" s="7"/>
      <c r="Q76" s="7"/>
      <c r="R76" s="7"/>
      <c r="S76" s="7"/>
      <c r="T76" s="7"/>
      <c r="U76" s="9"/>
      <c r="V76" s="15"/>
      <c r="W76" s="9"/>
      <c r="X76" s="15"/>
    </row>
    <row r="77" spans="1:24" ht="15.75" customHeight="1">
      <c r="A77" s="3"/>
      <c r="B77" s="10"/>
      <c r="C77" s="5"/>
      <c r="D77" s="11"/>
      <c r="E77" s="11"/>
      <c r="F77" s="11"/>
      <c r="G77" s="21"/>
      <c r="H77" s="11"/>
      <c r="I77" s="11"/>
      <c r="J77" s="11"/>
      <c r="K77" s="11"/>
      <c r="L77" s="11"/>
      <c r="M77" s="14"/>
      <c r="N77" s="14"/>
      <c r="O77" s="14"/>
      <c r="P77" s="7"/>
      <c r="Q77" s="7"/>
      <c r="R77" s="7"/>
      <c r="S77" s="7"/>
      <c r="T77" s="7"/>
      <c r="U77" s="9"/>
      <c r="V77" s="15"/>
      <c r="W77" s="9"/>
      <c r="X77" s="15"/>
    </row>
    <row r="78" spans="1:24" ht="15.75" customHeight="1">
      <c r="A78" s="3"/>
      <c r="B78" s="10"/>
      <c r="C78" s="5"/>
      <c r="D78" s="11"/>
      <c r="E78" s="11"/>
      <c r="F78" s="11"/>
      <c r="G78" s="21"/>
      <c r="H78" s="11"/>
      <c r="I78" s="11"/>
      <c r="J78" s="11"/>
      <c r="K78" s="11"/>
      <c r="L78" s="11"/>
      <c r="M78" s="14"/>
      <c r="N78" s="14"/>
      <c r="O78" s="14"/>
      <c r="P78" s="7"/>
      <c r="Q78" s="7"/>
      <c r="R78" s="7"/>
      <c r="S78" s="7"/>
      <c r="T78" s="7"/>
      <c r="U78" s="9"/>
      <c r="V78" s="15"/>
      <c r="W78" s="9"/>
      <c r="X78" s="15"/>
    </row>
    <row r="79" spans="1:24" ht="15.75" customHeight="1">
      <c r="A79" s="3"/>
      <c r="B79" s="10"/>
      <c r="C79" s="5"/>
      <c r="D79" s="11"/>
      <c r="E79" s="11"/>
      <c r="F79" s="11"/>
      <c r="G79" s="21"/>
      <c r="H79" s="11"/>
      <c r="I79" s="11"/>
      <c r="J79" s="11"/>
      <c r="K79" s="11"/>
      <c r="L79" s="11"/>
      <c r="M79" s="14"/>
      <c r="N79" s="14"/>
      <c r="O79" s="14"/>
      <c r="P79" s="7"/>
      <c r="Q79" s="7"/>
      <c r="R79" s="7"/>
      <c r="S79" s="7"/>
      <c r="T79" s="7"/>
      <c r="U79" s="9"/>
      <c r="V79" s="15"/>
      <c r="W79" s="9"/>
      <c r="X79" s="15"/>
    </row>
    <row r="80" spans="1:24" ht="15.75" customHeight="1">
      <c r="A80" s="3"/>
      <c r="B80" s="10"/>
      <c r="C80" s="5"/>
      <c r="D80" s="11"/>
      <c r="E80" s="11"/>
      <c r="F80" s="11"/>
      <c r="G80" s="21"/>
      <c r="H80" s="11"/>
      <c r="I80" s="11"/>
      <c r="J80" s="11"/>
      <c r="K80" s="11"/>
      <c r="L80" s="11"/>
      <c r="M80" s="14"/>
      <c r="N80" s="14"/>
      <c r="O80" s="14"/>
      <c r="P80" s="7"/>
      <c r="Q80" s="7"/>
      <c r="R80" s="7"/>
      <c r="S80" s="7"/>
      <c r="T80" s="7"/>
      <c r="U80" s="9"/>
      <c r="V80" s="15"/>
      <c r="W80" s="9"/>
      <c r="X80" s="15"/>
    </row>
    <row r="81" spans="1:24" ht="15.75" customHeight="1">
      <c r="A81" s="3"/>
      <c r="B81" s="10"/>
      <c r="C81" s="5"/>
      <c r="D81" s="11"/>
      <c r="E81" s="11"/>
      <c r="F81" s="11"/>
      <c r="G81" s="21"/>
      <c r="H81" s="11"/>
      <c r="I81" s="11"/>
      <c r="J81" s="11"/>
      <c r="K81" s="11"/>
      <c r="L81" s="11"/>
      <c r="M81" s="14"/>
      <c r="N81" s="14"/>
      <c r="O81" s="14"/>
      <c r="P81" s="7"/>
      <c r="Q81" s="7"/>
      <c r="R81" s="7"/>
      <c r="S81" s="7"/>
      <c r="T81" s="7"/>
      <c r="U81" s="9"/>
      <c r="V81" s="15"/>
      <c r="W81" s="9"/>
      <c r="X81" s="15"/>
    </row>
    <row r="82" spans="1:24" ht="15.75" customHeight="1">
      <c r="A82" s="3"/>
      <c r="B82" s="10"/>
      <c r="C82" s="5"/>
      <c r="D82" s="11"/>
      <c r="E82" s="11"/>
      <c r="F82" s="11"/>
      <c r="G82" s="21"/>
      <c r="H82" s="11"/>
      <c r="I82" s="11"/>
      <c r="J82" s="11"/>
      <c r="K82" s="11"/>
      <c r="L82" s="11"/>
      <c r="M82" s="14"/>
      <c r="N82" s="14"/>
      <c r="O82" s="14"/>
      <c r="P82" s="7"/>
      <c r="Q82" s="7"/>
      <c r="R82" s="7"/>
      <c r="S82" s="7"/>
      <c r="T82" s="7"/>
      <c r="U82" s="9"/>
      <c r="V82" s="15"/>
      <c r="W82" s="9"/>
      <c r="X82" s="15"/>
    </row>
    <row r="83" spans="1:24" ht="15.75" customHeight="1">
      <c r="A83" s="3"/>
      <c r="B83" s="10"/>
      <c r="C83" s="5"/>
      <c r="D83" s="11"/>
      <c r="E83" s="11"/>
      <c r="F83" s="11"/>
      <c r="G83" s="21"/>
      <c r="H83" s="11"/>
      <c r="I83" s="11"/>
      <c r="J83" s="11"/>
      <c r="K83" s="11"/>
      <c r="L83" s="11"/>
      <c r="M83" s="14"/>
      <c r="N83" s="14"/>
      <c r="O83" s="14"/>
      <c r="P83" s="7"/>
      <c r="Q83" s="7"/>
      <c r="R83" s="7"/>
      <c r="S83" s="7"/>
      <c r="T83" s="7"/>
      <c r="U83" s="9"/>
      <c r="V83" s="15"/>
      <c r="W83" s="9"/>
      <c r="X83" s="15"/>
    </row>
    <row r="84" spans="1:24" ht="15.75" customHeight="1">
      <c r="A84" s="3"/>
      <c r="B84" s="10"/>
      <c r="C84" s="5"/>
      <c r="D84" s="11"/>
      <c r="E84" s="11"/>
      <c r="F84" s="11"/>
      <c r="G84" s="21"/>
      <c r="H84" s="11"/>
      <c r="I84" s="11"/>
      <c r="J84" s="11"/>
      <c r="K84" s="11"/>
      <c r="L84" s="11"/>
      <c r="M84" s="14"/>
      <c r="N84" s="14"/>
      <c r="O84" s="14"/>
      <c r="P84" s="7"/>
      <c r="Q84" s="7"/>
      <c r="R84" s="7"/>
      <c r="S84" s="7"/>
      <c r="T84" s="7"/>
      <c r="U84" s="9"/>
      <c r="V84" s="15"/>
      <c r="W84" s="9"/>
      <c r="X84" s="15"/>
    </row>
    <row r="85" spans="1:24" ht="15.75" customHeight="1">
      <c r="A85" s="3"/>
      <c r="B85" s="10"/>
      <c r="C85" s="5"/>
      <c r="D85" s="11"/>
      <c r="E85" s="11"/>
      <c r="F85" s="11"/>
      <c r="G85" s="21"/>
      <c r="H85" s="11"/>
      <c r="I85" s="11"/>
      <c r="J85" s="11"/>
      <c r="K85" s="11"/>
      <c r="L85" s="11"/>
      <c r="M85" s="14"/>
      <c r="N85" s="14"/>
      <c r="O85" s="14"/>
      <c r="P85" s="7"/>
      <c r="Q85" s="7"/>
      <c r="R85" s="7"/>
      <c r="S85" s="7"/>
      <c r="T85" s="7"/>
      <c r="U85" s="9"/>
      <c r="V85" s="15"/>
      <c r="W85" s="9"/>
      <c r="X85" s="15"/>
    </row>
    <row r="86" spans="1:24" ht="15.75" customHeight="1">
      <c r="A86" s="3"/>
      <c r="B86" s="10"/>
      <c r="C86" s="5"/>
      <c r="D86" s="11"/>
      <c r="E86" s="11"/>
      <c r="F86" s="11"/>
      <c r="G86" s="21"/>
      <c r="H86" s="11"/>
      <c r="I86" s="11"/>
      <c r="J86" s="11"/>
      <c r="K86" s="11"/>
      <c r="L86" s="11"/>
      <c r="M86" s="14"/>
      <c r="N86" s="14"/>
      <c r="O86" s="14"/>
      <c r="P86" s="7"/>
      <c r="Q86" s="7"/>
      <c r="R86" s="7"/>
      <c r="S86" s="7"/>
      <c r="T86" s="7"/>
      <c r="U86" s="9"/>
      <c r="V86" s="15"/>
      <c r="W86" s="9"/>
      <c r="X86" s="15"/>
    </row>
    <row r="87" spans="1:24" ht="15.75" customHeight="1">
      <c r="A87" s="3"/>
      <c r="B87" s="10"/>
      <c r="C87" s="5"/>
      <c r="D87" s="11"/>
      <c r="E87" s="11"/>
      <c r="F87" s="11"/>
      <c r="G87" s="21"/>
      <c r="H87" s="11"/>
      <c r="I87" s="11"/>
      <c r="J87" s="11"/>
      <c r="K87" s="11"/>
      <c r="L87" s="11"/>
      <c r="M87" s="14"/>
      <c r="N87" s="14"/>
      <c r="O87" s="14"/>
      <c r="P87" s="7"/>
      <c r="Q87" s="7"/>
      <c r="R87" s="7"/>
      <c r="S87" s="7"/>
      <c r="T87" s="7"/>
      <c r="U87" s="9"/>
      <c r="V87" s="15"/>
      <c r="W87" s="9"/>
      <c r="X87" s="15"/>
    </row>
    <row r="88" spans="1:24" ht="15.75" customHeight="1">
      <c r="A88" s="3"/>
      <c r="B88" s="10"/>
      <c r="C88" s="5"/>
      <c r="D88" s="11"/>
      <c r="E88" s="11"/>
      <c r="F88" s="11"/>
      <c r="G88" s="21"/>
      <c r="H88" s="11"/>
      <c r="I88" s="11"/>
      <c r="J88" s="11"/>
      <c r="K88" s="11"/>
      <c r="L88" s="11"/>
      <c r="M88" s="14"/>
      <c r="N88" s="14"/>
      <c r="O88" s="14"/>
      <c r="P88" s="7"/>
      <c r="Q88" s="7"/>
      <c r="R88" s="7"/>
      <c r="S88" s="7"/>
      <c r="T88" s="7"/>
      <c r="U88" s="9"/>
      <c r="V88" s="15"/>
      <c r="W88" s="9"/>
      <c r="X88" s="15"/>
    </row>
    <row r="89" spans="1:24" ht="15.75" customHeight="1">
      <c r="A89" s="3"/>
      <c r="B89" s="10"/>
      <c r="C89" s="5"/>
      <c r="D89" s="11"/>
      <c r="E89" s="11"/>
      <c r="F89" s="11"/>
      <c r="G89" s="21"/>
      <c r="H89" s="11"/>
      <c r="I89" s="11"/>
      <c r="J89" s="11"/>
      <c r="K89" s="11"/>
      <c r="L89" s="11"/>
      <c r="M89" s="14"/>
      <c r="N89" s="14"/>
      <c r="O89" s="14"/>
      <c r="P89" s="7"/>
      <c r="Q89" s="7"/>
      <c r="R89" s="7"/>
      <c r="S89" s="7"/>
      <c r="T89" s="7"/>
      <c r="U89" s="9"/>
      <c r="V89" s="15"/>
      <c r="W89" s="9"/>
      <c r="X89" s="15"/>
    </row>
    <row r="90" spans="1:24" ht="15.75" customHeight="1">
      <c r="A90" s="3"/>
      <c r="B90" s="10"/>
      <c r="C90" s="5"/>
      <c r="D90" s="11"/>
      <c r="E90" s="11"/>
      <c r="F90" s="11"/>
      <c r="G90" s="21"/>
      <c r="H90" s="11"/>
      <c r="I90" s="11"/>
      <c r="J90" s="11"/>
      <c r="K90" s="58"/>
      <c r="L90" s="59"/>
      <c r="M90" s="14"/>
      <c r="N90" s="14"/>
      <c r="O90" s="14"/>
      <c r="P90" s="7"/>
      <c r="Q90" s="7"/>
      <c r="R90" s="7"/>
      <c r="S90" s="7"/>
      <c r="T90" s="7"/>
      <c r="U90" s="9"/>
      <c r="V90" s="15"/>
      <c r="W90" s="9"/>
      <c r="X90" s="15"/>
    </row>
    <row r="91" spans="1:24" ht="15.75" customHeight="1">
      <c r="A91" s="3"/>
      <c r="B91" s="10"/>
      <c r="C91" s="5"/>
      <c r="D91" s="11"/>
      <c r="E91" s="11"/>
      <c r="F91" s="11"/>
      <c r="G91" s="21"/>
      <c r="H91" s="11"/>
      <c r="I91" s="11"/>
      <c r="J91" s="11"/>
      <c r="K91" s="11"/>
      <c r="L91" s="11"/>
      <c r="M91" s="14"/>
      <c r="N91" s="14"/>
      <c r="O91" s="14"/>
      <c r="P91" s="7"/>
      <c r="Q91" s="7"/>
      <c r="R91" s="7"/>
      <c r="S91" s="7"/>
      <c r="T91" s="7"/>
      <c r="U91" s="9"/>
      <c r="V91" s="15"/>
      <c r="W91" s="9"/>
      <c r="X91" s="15"/>
    </row>
    <row r="92" spans="1:24" ht="15.75" customHeight="1">
      <c r="A92" s="3"/>
      <c r="B92" s="10"/>
      <c r="C92" s="5"/>
      <c r="D92" s="11"/>
      <c r="E92" s="11"/>
      <c r="F92" s="11"/>
      <c r="G92" s="21"/>
      <c r="H92" s="11"/>
      <c r="I92" s="11"/>
      <c r="J92" s="11"/>
      <c r="K92" s="11"/>
      <c r="L92" s="11"/>
      <c r="M92" s="14"/>
      <c r="N92" s="14"/>
      <c r="O92" s="14"/>
      <c r="P92" s="7"/>
      <c r="Q92" s="7"/>
      <c r="R92" s="7"/>
      <c r="S92" s="7"/>
      <c r="T92" s="7"/>
      <c r="U92" s="9"/>
      <c r="V92" s="15"/>
      <c r="W92" s="9"/>
      <c r="X92" s="15"/>
    </row>
    <row r="93" spans="1:24" ht="15.75" customHeight="1">
      <c r="A93" s="3"/>
      <c r="B93" s="10"/>
      <c r="C93" s="5"/>
      <c r="D93" s="11"/>
      <c r="E93" s="11"/>
      <c r="F93" s="11"/>
      <c r="G93" s="21"/>
      <c r="H93" s="11"/>
      <c r="I93" s="11"/>
      <c r="J93" s="11"/>
      <c r="K93" s="11"/>
      <c r="L93" s="11"/>
      <c r="M93" s="14"/>
      <c r="N93" s="14"/>
      <c r="O93" s="14"/>
      <c r="P93" s="7"/>
      <c r="Q93" s="7"/>
      <c r="R93" s="7"/>
      <c r="S93" s="7"/>
      <c r="T93" s="7"/>
      <c r="U93" s="9"/>
      <c r="V93" s="15"/>
      <c r="W93" s="9"/>
      <c r="X93" s="15"/>
    </row>
    <row r="94" spans="1:24" ht="15.75" customHeight="1">
      <c r="A94" s="3"/>
      <c r="B94" s="10"/>
      <c r="C94" s="5"/>
      <c r="D94" s="11"/>
      <c r="E94" s="11"/>
      <c r="F94" s="11"/>
      <c r="G94" s="21"/>
      <c r="H94" s="11"/>
      <c r="I94" s="11"/>
      <c r="J94" s="11"/>
      <c r="K94" s="11"/>
      <c r="L94" s="11"/>
      <c r="M94" s="14"/>
      <c r="N94" s="14"/>
      <c r="O94" s="14"/>
      <c r="P94" s="7"/>
      <c r="Q94" s="7"/>
      <c r="R94" s="7"/>
      <c r="S94" s="7"/>
      <c r="T94" s="7"/>
      <c r="U94" s="9"/>
      <c r="V94" s="15"/>
      <c r="W94" s="9"/>
      <c r="X94" s="15"/>
    </row>
    <row r="95" spans="1:24" ht="15.75" customHeight="1">
      <c r="A95" s="3"/>
      <c r="B95" s="10"/>
      <c r="C95" s="5"/>
      <c r="D95" s="11"/>
      <c r="E95" s="11"/>
      <c r="F95" s="11"/>
      <c r="G95" s="21"/>
      <c r="H95" s="11"/>
      <c r="I95" s="11"/>
      <c r="J95" s="11"/>
      <c r="K95" s="11"/>
      <c r="L95" s="11"/>
      <c r="M95" s="14"/>
      <c r="N95" s="14"/>
      <c r="O95" s="14"/>
      <c r="P95" s="7"/>
      <c r="Q95" s="7"/>
      <c r="R95" s="7"/>
      <c r="S95" s="7"/>
      <c r="T95" s="7"/>
      <c r="U95" s="9"/>
      <c r="V95" s="15"/>
      <c r="W95" s="9"/>
      <c r="X95" s="15"/>
    </row>
    <row r="96" spans="1:24" ht="15.75" customHeight="1">
      <c r="A96" s="3"/>
      <c r="B96" s="10"/>
      <c r="C96" s="5"/>
      <c r="D96" s="11"/>
      <c r="E96" s="11"/>
      <c r="F96" s="11"/>
      <c r="G96" s="21"/>
      <c r="H96" s="11"/>
      <c r="I96" s="11"/>
      <c r="J96" s="11"/>
      <c r="K96" s="11"/>
      <c r="L96" s="11"/>
      <c r="M96" s="14"/>
      <c r="N96" s="14"/>
      <c r="O96" s="14"/>
      <c r="P96" s="7"/>
      <c r="Q96" s="7"/>
      <c r="R96" s="7"/>
      <c r="S96" s="7"/>
      <c r="T96" s="7"/>
      <c r="U96" s="9"/>
      <c r="V96" s="15"/>
      <c r="W96" s="9"/>
      <c r="X96" s="15"/>
    </row>
    <row r="97" spans="1:24" ht="15.75" customHeight="1">
      <c r="A97" s="3"/>
      <c r="B97" s="10"/>
      <c r="C97" s="5"/>
      <c r="D97" s="11"/>
      <c r="E97" s="11"/>
      <c r="F97" s="11"/>
      <c r="G97" s="21"/>
      <c r="H97" s="11"/>
      <c r="I97" s="11"/>
      <c r="J97" s="11"/>
      <c r="K97" s="11"/>
      <c r="L97" s="11"/>
      <c r="M97" s="14"/>
      <c r="N97" s="14"/>
      <c r="O97" s="14"/>
      <c r="P97" s="7"/>
      <c r="Q97" s="7"/>
      <c r="R97" s="7"/>
      <c r="S97" s="7"/>
      <c r="T97" s="7"/>
      <c r="U97" s="9"/>
      <c r="V97" s="15"/>
      <c r="W97" s="9"/>
      <c r="X97" s="15"/>
    </row>
    <row r="98" spans="1:24" ht="15.75" customHeight="1">
      <c r="A98" s="3"/>
      <c r="B98" s="10"/>
      <c r="C98" s="5"/>
      <c r="D98" s="11"/>
      <c r="E98" s="11"/>
      <c r="F98" s="11"/>
      <c r="G98" s="21"/>
      <c r="H98" s="11"/>
      <c r="I98" s="11"/>
      <c r="J98" s="11"/>
      <c r="K98" s="11"/>
      <c r="L98" s="11"/>
      <c r="M98" s="14"/>
      <c r="N98" s="14"/>
      <c r="O98" s="14"/>
      <c r="P98" s="7"/>
      <c r="Q98" s="7"/>
      <c r="R98" s="7"/>
      <c r="S98" s="7"/>
      <c r="T98" s="7"/>
      <c r="U98" s="9"/>
      <c r="V98" s="15"/>
      <c r="W98" s="9"/>
      <c r="X98" s="15"/>
    </row>
    <row r="99" spans="1:24" ht="15.75" customHeight="1">
      <c r="A99" s="3"/>
      <c r="B99" s="10"/>
      <c r="C99" s="5"/>
      <c r="D99" s="11"/>
      <c r="E99" s="11"/>
      <c r="F99" s="11"/>
      <c r="G99" s="21"/>
      <c r="H99" s="11"/>
      <c r="I99" s="11"/>
      <c r="J99" s="11"/>
      <c r="K99" s="11"/>
      <c r="L99" s="11"/>
      <c r="M99" s="14"/>
      <c r="N99" s="14"/>
      <c r="O99" s="14"/>
      <c r="P99" s="7"/>
      <c r="Q99" s="7"/>
      <c r="R99" s="7"/>
      <c r="S99" s="7"/>
      <c r="T99" s="7"/>
      <c r="U99" s="9"/>
      <c r="V99" s="15"/>
      <c r="W99" s="9"/>
      <c r="X99" s="15"/>
    </row>
    <row r="100" spans="1:24" ht="15.75" customHeight="1">
      <c r="A100" s="3"/>
      <c r="B100" s="10"/>
      <c r="C100" s="5"/>
      <c r="D100" s="11"/>
      <c r="E100" s="11"/>
      <c r="F100" s="11"/>
      <c r="G100" s="21"/>
      <c r="H100" s="11"/>
      <c r="I100" s="11"/>
      <c r="J100" s="11"/>
      <c r="K100" s="11"/>
      <c r="L100" s="11"/>
      <c r="M100" s="14"/>
      <c r="N100" s="14"/>
      <c r="O100" s="14"/>
      <c r="P100" s="7"/>
      <c r="Q100" s="7"/>
      <c r="R100" s="7"/>
      <c r="S100" s="7"/>
      <c r="T100" s="7"/>
      <c r="U100" s="9"/>
      <c r="V100" s="15"/>
      <c r="W100" s="9"/>
      <c r="X100" s="15"/>
    </row>
    <row r="101" spans="1:24" ht="15.75" customHeight="1">
      <c r="A101" s="3"/>
      <c r="B101" s="10"/>
      <c r="C101" s="5"/>
      <c r="D101" s="11"/>
      <c r="E101" s="11"/>
      <c r="F101" s="11"/>
      <c r="G101" s="21"/>
      <c r="H101" s="11"/>
      <c r="I101" s="11"/>
      <c r="J101" s="11"/>
      <c r="K101" s="11"/>
      <c r="L101" s="11"/>
      <c r="M101" s="14"/>
      <c r="N101" s="14"/>
      <c r="O101" s="14"/>
      <c r="P101" s="7"/>
      <c r="Q101" s="7"/>
      <c r="R101" s="7"/>
      <c r="S101" s="7"/>
      <c r="T101" s="7"/>
      <c r="U101" s="9"/>
      <c r="V101" s="15"/>
      <c r="W101" s="9"/>
      <c r="X101" s="15"/>
    </row>
    <row r="102" spans="1:24" ht="15.75" customHeight="1">
      <c r="A102" s="3"/>
      <c r="B102" s="10"/>
      <c r="C102" s="5"/>
      <c r="D102" s="11"/>
      <c r="E102" s="11"/>
      <c r="F102" s="11"/>
      <c r="G102" s="21"/>
      <c r="H102" s="11"/>
      <c r="I102" s="11"/>
      <c r="J102" s="11"/>
      <c r="K102" s="11"/>
      <c r="L102" s="11"/>
      <c r="M102" s="14"/>
      <c r="N102" s="14"/>
      <c r="O102" s="14"/>
      <c r="P102" s="7"/>
      <c r="Q102" s="7"/>
      <c r="R102" s="7"/>
      <c r="S102" s="7"/>
      <c r="T102" s="7"/>
      <c r="U102" s="9"/>
      <c r="V102" s="15"/>
      <c r="W102" s="9"/>
      <c r="X102" s="15"/>
    </row>
    <row r="103" spans="1:24" ht="15.75" customHeight="1">
      <c r="A103" s="3"/>
      <c r="B103" s="10"/>
      <c r="C103" s="5"/>
      <c r="D103" s="11"/>
      <c r="E103" s="11"/>
      <c r="F103" s="11"/>
      <c r="G103" s="21"/>
      <c r="H103" s="11"/>
      <c r="I103" s="11"/>
      <c r="J103" s="11"/>
      <c r="K103" s="11"/>
      <c r="L103" s="11"/>
      <c r="M103" s="14"/>
      <c r="N103" s="14"/>
      <c r="O103" s="14"/>
      <c r="P103" s="7"/>
      <c r="Q103" s="7"/>
      <c r="R103" s="7"/>
      <c r="S103" s="7"/>
      <c r="T103" s="7"/>
      <c r="U103" s="9"/>
      <c r="V103" s="15"/>
      <c r="W103" s="9"/>
      <c r="X103" s="15"/>
    </row>
    <row r="104" spans="1:24" ht="15.75" customHeight="1">
      <c r="A104" s="3"/>
      <c r="B104" s="10"/>
      <c r="C104" s="5"/>
      <c r="D104" s="11"/>
      <c r="E104" s="11"/>
      <c r="F104" s="11"/>
      <c r="G104" s="21"/>
      <c r="H104" s="11"/>
      <c r="I104" s="11"/>
      <c r="J104" s="11"/>
      <c r="K104" s="11"/>
      <c r="L104" s="11"/>
      <c r="M104" s="14"/>
      <c r="N104" s="14"/>
      <c r="O104" s="14"/>
      <c r="P104" s="7"/>
      <c r="Q104" s="7"/>
      <c r="R104" s="7"/>
      <c r="S104" s="7"/>
      <c r="T104" s="7"/>
      <c r="U104" s="9"/>
      <c r="V104" s="15"/>
      <c r="W104" s="9"/>
      <c r="X104" s="15"/>
    </row>
    <row r="105" spans="1:24" ht="15.75" customHeight="1">
      <c r="A105" s="3"/>
      <c r="B105" s="10"/>
      <c r="C105" s="5"/>
      <c r="D105" s="11"/>
      <c r="E105" s="11"/>
      <c r="F105" s="11"/>
      <c r="G105" s="21"/>
      <c r="H105" s="11"/>
      <c r="I105" s="11"/>
      <c r="J105" s="11"/>
      <c r="K105" s="11"/>
      <c r="L105" s="11"/>
      <c r="M105" s="14"/>
      <c r="N105" s="14"/>
      <c r="O105" s="14"/>
      <c r="P105" s="7"/>
      <c r="Q105" s="7"/>
      <c r="R105" s="7"/>
      <c r="S105" s="7"/>
      <c r="T105" s="7"/>
      <c r="U105" s="9"/>
      <c r="V105" s="15"/>
      <c r="W105" s="9"/>
      <c r="X105" s="15"/>
    </row>
    <row r="106" spans="1:24" ht="15.75" customHeight="1">
      <c r="A106" s="3"/>
      <c r="B106" s="10"/>
      <c r="C106" s="5"/>
      <c r="D106" s="11"/>
      <c r="E106" s="11"/>
      <c r="F106" s="11"/>
      <c r="G106" s="21"/>
      <c r="H106" s="11"/>
      <c r="I106" s="11"/>
      <c r="J106" s="11"/>
      <c r="K106" s="11"/>
      <c r="L106" s="11"/>
      <c r="M106" s="14"/>
      <c r="N106" s="14"/>
      <c r="O106" s="14"/>
      <c r="P106" s="7"/>
      <c r="Q106" s="7"/>
      <c r="R106" s="7"/>
      <c r="S106" s="7"/>
      <c r="T106" s="7"/>
      <c r="U106" s="9"/>
      <c r="V106" s="15"/>
      <c r="W106" s="9"/>
      <c r="X106" s="15"/>
    </row>
    <row r="107" spans="1:24" ht="15.75" customHeight="1">
      <c r="A107" s="3"/>
      <c r="B107" s="10"/>
      <c r="C107" s="5"/>
      <c r="D107" s="11"/>
      <c r="E107" s="11"/>
      <c r="F107" s="11"/>
      <c r="G107" s="21"/>
      <c r="H107" s="11"/>
      <c r="I107" s="11"/>
      <c r="J107" s="11"/>
      <c r="K107" s="11"/>
      <c r="L107" s="11"/>
      <c r="M107" s="14"/>
      <c r="N107" s="14"/>
      <c r="O107" s="14"/>
      <c r="P107" s="7"/>
      <c r="Q107" s="7"/>
      <c r="R107" s="7"/>
      <c r="S107" s="7"/>
      <c r="T107" s="7"/>
      <c r="U107" s="9"/>
      <c r="V107" s="15"/>
      <c r="W107" s="9"/>
      <c r="X107" s="15"/>
    </row>
    <row r="108" spans="1:24" ht="15.75" customHeight="1">
      <c r="A108" s="3"/>
      <c r="B108" s="10"/>
      <c r="C108" s="5"/>
      <c r="D108" s="11"/>
      <c r="E108" s="11"/>
      <c r="F108" s="11"/>
      <c r="G108" s="21"/>
      <c r="H108" s="11"/>
      <c r="I108" s="11"/>
      <c r="J108" s="11"/>
      <c r="K108" s="11"/>
      <c r="L108" s="11"/>
      <c r="M108" s="14"/>
      <c r="N108" s="14"/>
      <c r="O108" s="14"/>
      <c r="P108" s="7"/>
      <c r="Q108" s="7"/>
      <c r="R108" s="7"/>
      <c r="S108" s="7"/>
      <c r="T108" s="7"/>
      <c r="U108" s="9"/>
      <c r="V108" s="15"/>
      <c r="W108" s="9"/>
      <c r="X108" s="15"/>
    </row>
    <row r="109" spans="1:24" ht="15.75" customHeight="1">
      <c r="A109" s="3"/>
      <c r="B109" s="10"/>
      <c r="C109" s="5"/>
      <c r="D109" s="11"/>
      <c r="E109" s="11"/>
      <c r="F109" s="11"/>
      <c r="G109" s="21"/>
      <c r="H109" s="11"/>
      <c r="I109" s="11"/>
      <c r="J109" s="11"/>
      <c r="K109" s="11"/>
      <c r="L109" s="11"/>
      <c r="M109" s="14"/>
      <c r="N109" s="14"/>
      <c r="O109" s="14"/>
      <c r="P109" s="7"/>
      <c r="Q109" s="7"/>
      <c r="R109" s="7"/>
      <c r="S109" s="7"/>
      <c r="T109" s="7"/>
      <c r="U109" s="9"/>
      <c r="V109" s="15"/>
      <c r="W109" s="9"/>
      <c r="X109" s="15"/>
    </row>
    <row r="110" spans="1:24" ht="15.75" customHeight="1">
      <c r="A110" s="3"/>
      <c r="B110" s="10"/>
      <c r="C110" s="5"/>
      <c r="D110" s="11"/>
      <c r="E110" s="11"/>
      <c r="F110" s="11"/>
      <c r="G110" s="21"/>
      <c r="H110" s="11"/>
      <c r="I110" s="11"/>
      <c r="J110" s="11"/>
      <c r="K110" s="11"/>
      <c r="L110" s="11"/>
      <c r="M110" s="14"/>
      <c r="N110" s="14"/>
      <c r="O110" s="14"/>
      <c r="P110" s="7"/>
      <c r="Q110" s="7"/>
      <c r="R110" s="7"/>
      <c r="S110" s="7"/>
      <c r="T110" s="7"/>
      <c r="U110" s="9"/>
      <c r="V110" s="15"/>
      <c r="W110" s="9"/>
      <c r="X110" s="15"/>
    </row>
    <row r="111" spans="1:24" ht="15.75" customHeight="1">
      <c r="A111" s="3"/>
      <c r="B111" s="10"/>
      <c r="C111" s="5"/>
      <c r="D111" s="11"/>
      <c r="E111" s="11"/>
      <c r="F111" s="11"/>
      <c r="G111" s="21"/>
      <c r="H111" s="11"/>
      <c r="I111" s="11"/>
      <c r="J111" s="11"/>
      <c r="K111" s="11"/>
      <c r="L111" s="11"/>
      <c r="M111" s="14"/>
      <c r="N111" s="14"/>
      <c r="O111" s="14"/>
      <c r="P111" s="7"/>
      <c r="Q111" s="7"/>
      <c r="R111" s="7"/>
      <c r="S111" s="7"/>
      <c r="T111" s="7"/>
      <c r="U111" s="9"/>
      <c r="V111" s="15"/>
      <c r="W111" s="9"/>
      <c r="X111" s="15"/>
    </row>
    <row r="112" spans="1:24" ht="15.75" customHeight="1">
      <c r="A112" s="3"/>
      <c r="B112" s="10"/>
      <c r="C112" s="5"/>
      <c r="D112" s="11"/>
      <c r="E112" s="11"/>
      <c r="F112" s="11"/>
      <c r="G112" s="21"/>
      <c r="H112" s="11"/>
      <c r="I112" s="11"/>
      <c r="J112" s="11"/>
      <c r="K112" s="11"/>
      <c r="L112" s="11"/>
      <c r="M112" s="14"/>
      <c r="N112" s="14"/>
      <c r="O112" s="14"/>
      <c r="P112" s="7"/>
      <c r="Q112" s="7"/>
      <c r="R112" s="7"/>
      <c r="S112" s="7"/>
      <c r="T112" s="7"/>
      <c r="U112" s="9"/>
      <c r="V112" s="15"/>
      <c r="W112" s="9"/>
      <c r="X112" s="15"/>
    </row>
    <row r="113" spans="1:24" ht="15.75" customHeight="1">
      <c r="A113" s="3"/>
      <c r="B113" s="10"/>
      <c r="C113" s="5"/>
      <c r="D113" s="11"/>
      <c r="E113" s="11"/>
      <c r="F113" s="11"/>
      <c r="G113" s="21"/>
      <c r="H113" s="11"/>
      <c r="I113" s="11"/>
      <c r="J113" s="11"/>
      <c r="K113" s="11"/>
      <c r="L113" s="11"/>
      <c r="M113" s="14"/>
      <c r="N113" s="14"/>
      <c r="O113" s="14"/>
      <c r="P113" s="7"/>
      <c r="Q113" s="7"/>
      <c r="R113" s="7"/>
      <c r="S113" s="7"/>
      <c r="T113" s="7"/>
      <c r="U113" s="9"/>
      <c r="V113" s="15"/>
      <c r="W113" s="9"/>
      <c r="X113" s="15"/>
    </row>
    <row r="114" spans="1:24" ht="15.75" customHeight="1">
      <c r="A114" s="3"/>
      <c r="B114" s="10"/>
      <c r="C114" s="5"/>
      <c r="D114" s="11"/>
      <c r="E114" s="11"/>
      <c r="F114" s="11"/>
      <c r="G114" s="21"/>
      <c r="H114" s="11"/>
      <c r="I114" s="11"/>
      <c r="J114" s="11"/>
      <c r="K114" s="11"/>
      <c r="L114" s="11"/>
      <c r="M114" s="14"/>
      <c r="N114" s="14"/>
      <c r="O114" s="14"/>
      <c r="P114" s="7"/>
      <c r="Q114" s="7"/>
      <c r="R114" s="7"/>
      <c r="S114" s="7"/>
      <c r="T114" s="7"/>
      <c r="U114" s="9"/>
      <c r="V114" s="15"/>
      <c r="W114" s="9"/>
      <c r="X114" s="15"/>
    </row>
    <row r="115" spans="1:24" ht="15.75" customHeight="1">
      <c r="A115" s="3"/>
      <c r="B115" s="10"/>
      <c r="C115" s="5"/>
      <c r="D115" s="11"/>
      <c r="E115" s="11"/>
      <c r="F115" s="11"/>
      <c r="G115" s="21"/>
      <c r="H115" s="11"/>
      <c r="I115" s="11"/>
      <c r="J115" s="11"/>
      <c r="K115" s="11"/>
      <c r="L115" s="11"/>
      <c r="M115" s="14"/>
      <c r="N115" s="14"/>
      <c r="O115" s="14"/>
      <c r="P115" s="7"/>
      <c r="Q115" s="7"/>
      <c r="R115" s="7"/>
      <c r="S115" s="7"/>
      <c r="T115" s="7"/>
      <c r="U115" s="9"/>
      <c r="V115" s="15"/>
      <c r="W115" s="9"/>
      <c r="X115" s="15"/>
    </row>
    <row r="116" spans="1:24" ht="15.75" customHeight="1">
      <c r="A116" s="3"/>
      <c r="B116" s="10"/>
      <c r="C116" s="5"/>
      <c r="D116" s="11"/>
      <c r="E116" s="11"/>
      <c r="F116" s="11"/>
      <c r="G116" s="21"/>
      <c r="H116" s="11"/>
      <c r="I116" s="11"/>
      <c r="J116" s="11"/>
      <c r="K116" s="11"/>
      <c r="L116" s="11"/>
      <c r="M116" s="14"/>
      <c r="N116" s="14"/>
      <c r="O116" s="14"/>
      <c r="P116" s="7"/>
      <c r="Q116" s="7"/>
      <c r="R116" s="7"/>
      <c r="S116" s="7"/>
      <c r="T116" s="7"/>
      <c r="U116" s="9"/>
      <c r="V116" s="15"/>
      <c r="W116" s="9"/>
      <c r="X116" s="15"/>
    </row>
    <row r="117" spans="1:24" ht="15.75" customHeight="1">
      <c r="A117" s="3"/>
      <c r="B117" s="10"/>
      <c r="C117" s="5"/>
      <c r="D117" s="11"/>
      <c r="E117" s="11"/>
      <c r="F117" s="11"/>
      <c r="G117" s="21"/>
      <c r="H117" s="11"/>
      <c r="I117" s="11"/>
      <c r="J117" s="11"/>
      <c r="K117" s="11"/>
      <c r="L117" s="11"/>
      <c r="M117" s="14"/>
      <c r="N117" s="14"/>
      <c r="O117" s="14"/>
      <c r="P117" s="7"/>
      <c r="Q117" s="7"/>
      <c r="R117" s="7"/>
      <c r="S117" s="7"/>
      <c r="T117" s="7"/>
      <c r="U117" s="9"/>
      <c r="V117" s="15"/>
      <c r="W117" s="9"/>
      <c r="X117" s="15"/>
    </row>
    <row r="118" spans="1:24" ht="15.75" customHeight="1">
      <c r="A118" s="3"/>
      <c r="B118" s="10"/>
      <c r="C118" s="5"/>
      <c r="D118" s="11"/>
      <c r="E118" s="11"/>
      <c r="F118" s="11"/>
      <c r="G118" s="21"/>
      <c r="H118" s="11"/>
      <c r="I118" s="11"/>
      <c r="J118" s="11"/>
      <c r="K118" s="11"/>
      <c r="L118" s="11"/>
      <c r="M118" s="14"/>
      <c r="N118" s="14"/>
      <c r="O118" s="14"/>
      <c r="P118" s="7"/>
      <c r="Q118" s="7"/>
      <c r="R118" s="7"/>
      <c r="S118" s="7"/>
      <c r="T118" s="7"/>
      <c r="U118" s="9"/>
      <c r="V118" s="15"/>
      <c r="W118" s="9"/>
      <c r="X118" s="15"/>
    </row>
    <row r="119" spans="1:24" ht="15.75" customHeight="1">
      <c r="A119" s="3"/>
      <c r="B119" s="10"/>
      <c r="C119" s="5"/>
      <c r="D119" s="11"/>
      <c r="E119" s="11"/>
      <c r="F119" s="11"/>
      <c r="G119" s="21"/>
      <c r="H119" s="11"/>
      <c r="I119" s="11"/>
      <c r="J119" s="11"/>
      <c r="K119" s="11"/>
      <c r="L119" s="11"/>
      <c r="M119" s="14"/>
      <c r="N119" s="14"/>
      <c r="O119" s="14"/>
      <c r="P119" s="7"/>
      <c r="Q119" s="7"/>
      <c r="R119" s="7"/>
      <c r="S119" s="7"/>
      <c r="T119" s="7"/>
      <c r="U119" s="9"/>
      <c r="V119" s="15"/>
      <c r="W119" s="9"/>
      <c r="X119" s="15"/>
    </row>
    <row r="120" spans="1:24" ht="15.75" customHeight="1">
      <c r="A120" s="3"/>
      <c r="B120" s="10"/>
      <c r="C120" s="5"/>
      <c r="D120" s="11"/>
      <c r="E120" s="11"/>
      <c r="F120" s="11"/>
      <c r="G120" s="21"/>
      <c r="H120" s="11"/>
      <c r="I120" s="11"/>
      <c r="J120" s="11"/>
      <c r="K120" s="11"/>
      <c r="L120" s="11"/>
      <c r="M120" s="14"/>
      <c r="N120" s="14"/>
      <c r="O120" s="14"/>
      <c r="P120" s="7"/>
      <c r="Q120" s="7"/>
      <c r="R120" s="7"/>
      <c r="S120" s="7"/>
      <c r="T120" s="7"/>
      <c r="U120" s="9"/>
      <c r="V120" s="15"/>
      <c r="W120" s="9"/>
      <c r="X120" s="15"/>
    </row>
    <row r="121" spans="1:24" ht="15.75" customHeight="1">
      <c r="A121" s="3"/>
      <c r="B121" s="10"/>
      <c r="C121" s="5"/>
      <c r="D121" s="11"/>
      <c r="E121" s="11"/>
      <c r="F121" s="11"/>
      <c r="G121" s="21"/>
      <c r="H121" s="11"/>
      <c r="I121" s="11"/>
      <c r="J121" s="11"/>
      <c r="K121" s="11"/>
      <c r="L121" s="11"/>
      <c r="M121" s="14"/>
      <c r="N121" s="14"/>
      <c r="O121" s="14"/>
      <c r="P121" s="7"/>
      <c r="Q121" s="7"/>
      <c r="R121" s="7"/>
      <c r="S121" s="7"/>
      <c r="T121" s="7"/>
      <c r="U121" s="9"/>
      <c r="V121" s="15"/>
      <c r="W121" s="9"/>
      <c r="X121" s="15"/>
    </row>
    <row r="122" spans="1:24" ht="15.75" customHeight="1">
      <c r="A122" s="3"/>
      <c r="B122" s="10"/>
      <c r="C122" s="5"/>
      <c r="D122" s="11"/>
      <c r="E122" s="11"/>
      <c r="F122" s="11"/>
      <c r="G122" s="21"/>
      <c r="H122" s="11"/>
      <c r="I122" s="11"/>
      <c r="J122" s="11"/>
      <c r="K122" s="11"/>
      <c r="L122" s="11"/>
      <c r="M122" s="14"/>
      <c r="N122" s="14"/>
      <c r="O122" s="14"/>
      <c r="P122" s="7"/>
      <c r="Q122" s="7"/>
      <c r="R122" s="7"/>
      <c r="S122" s="7"/>
      <c r="T122" s="7"/>
      <c r="U122" s="9"/>
      <c r="V122" s="15"/>
      <c r="W122" s="9"/>
      <c r="X122" s="15"/>
    </row>
    <row r="123" spans="1:24" ht="15.75" customHeight="1">
      <c r="A123" s="3"/>
      <c r="B123" s="10"/>
      <c r="C123" s="5"/>
      <c r="D123" s="11"/>
      <c r="E123" s="11"/>
      <c r="F123" s="11"/>
      <c r="G123" s="21"/>
      <c r="H123" s="11"/>
      <c r="I123" s="11"/>
      <c r="J123" s="11"/>
      <c r="K123" s="11"/>
      <c r="L123" s="11"/>
      <c r="M123" s="14"/>
      <c r="N123" s="14"/>
      <c r="O123" s="14"/>
      <c r="P123" s="7"/>
      <c r="Q123" s="7"/>
      <c r="R123" s="7"/>
      <c r="S123" s="7"/>
      <c r="T123" s="7"/>
      <c r="U123" s="9"/>
      <c r="V123" s="15"/>
      <c r="W123" s="9"/>
      <c r="X123" s="15"/>
    </row>
    <row r="124" spans="1:24" ht="15.75" customHeight="1">
      <c r="A124" s="3"/>
      <c r="B124" s="10"/>
      <c r="C124" s="5"/>
      <c r="D124" s="11"/>
      <c r="E124" s="11"/>
      <c r="F124" s="11"/>
      <c r="G124" s="21"/>
      <c r="H124" s="11"/>
      <c r="I124" s="11"/>
      <c r="J124" s="11"/>
      <c r="K124" s="11"/>
      <c r="L124" s="11"/>
      <c r="M124" s="14"/>
      <c r="N124" s="14"/>
      <c r="O124" s="14"/>
      <c r="P124" s="7"/>
      <c r="Q124" s="7"/>
      <c r="R124" s="7"/>
      <c r="S124" s="7"/>
      <c r="T124" s="7"/>
      <c r="U124" s="9"/>
      <c r="V124" s="15"/>
      <c r="W124" s="9"/>
      <c r="X124" s="15"/>
    </row>
    <row r="125" spans="1:24" ht="15.75" customHeight="1">
      <c r="A125" s="3"/>
      <c r="B125" s="10"/>
      <c r="C125" s="5"/>
      <c r="D125" s="11"/>
      <c r="E125" s="11"/>
      <c r="F125" s="11"/>
      <c r="G125" s="21"/>
      <c r="H125" s="11"/>
      <c r="I125" s="11"/>
      <c r="J125" s="11"/>
      <c r="K125" s="11"/>
      <c r="L125" s="11"/>
      <c r="M125" s="14"/>
      <c r="N125" s="14"/>
      <c r="O125" s="14"/>
      <c r="P125" s="7"/>
      <c r="Q125" s="7"/>
      <c r="R125" s="7"/>
      <c r="S125" s="7"/>
      <c r="T125" s="7"/>
      <c r="U125" s="9"/>
      <c r="V125" s="15"/>
      <c r="W125" s="9"/>
      <c r="X125" s="15"/>
    </row>
    <row r="126" spans="1:24" ht="15.75" customHeight="1">
      <c r="A126" s="3"/>
      <c r="B126" s="10"/>
      <c r="C126" s="5"/>
      <c r="D126" s="11"/>
      <c r="E126" s="11"/>
      <c r="F126" s="11"/>
      <c r="G126" s="21"/>
      <c r="H126" s="11"/>
      <c r="I126" s="11"/>
      <c r="J126" s="11"/>
      <c r="K126" s="11"/>
      <c r="L126" s="11"/>
      <c r="M126" s="14"/>
      <c r="N126" s="14"/>
      <c r="O126" s="14"/>
      <c r="P126" s="7"/>
      <c r="Q126" s="7"/>
      <c r="R126" s="7"/>
      <c r="S126" s="7"/>
      <c r="T126" s="7"/>
      <c r="U126" s="9"/>
      <c r="V126" s="15"/>
      <c r="W126" s="9"/>
      <c r="X126" s="15"/>
    </row>
    <row r="127" spans="1:24" ht="15.75" customHeight="1">
      <c r="A127" s="3"/>
      <c r="B127" s="10"/>
      <c r="C127" s="5"/>
      <c r="D127" s="11"/>
      <c r="E127" s="11"/>
      <c r="F127" s="11"/>
      <c r="G127" s="21"/>
      <c r="H127" s="11"/>
      <c r="I127" s="11"/>
      <c r="J127" s="11"/>
      <c r="K127" s="11"/>
      <c r="L127" s="11"/>
      <c r="M127" s="14"/>
      <c r="N127" s="14"/>
      <c r="O127" s="14"/>
      <c r="P127" s="7"/>
      <c r="Q127" s="7"/>
      <c r="R127" s="7"/>
      <c r="S127" s="7"/>
      <c r="T127" s="7"/>
      <c r="U127" s="9"/>
      <c r="V127" s="15"/>
      <c r="W127" s="9"/>
      <c r="X127" s="15"/>
    </row>
    <row r="128" spans="1:24" ht="15.75" customHeight="1">
      <c r="A128" s="3"/>
      <c r="B128" s="10"/>
      <c r="C128" s="5"/>
      <c r="D128" s="11"/>
      <c r="E128" s="11"/>
      <c r="F128" s="11"/>
      <c r="G128" s="21"/>
      <c r="H128" s="11"/>
      <c r="I128" s="11"/>
      <c r="J128" s="11"/>
      <c r="K128" s="11"/>
      <c r="L128" s="11"/>
      <c r="M128" s="14"/>
      <c r="N128" s="14"/>
      <c r="O128" s="14"/>
      <c r="P128" s="7"/>
      <c r="Q128" s="7"/>
      <c r="R128" s="7"/>
      <c r="S128" s="7"/>
      <c r="T128" s="7"/>
      <c r="U128" s="9"/>
      <c r="V128" s="15"/>
      <c r="W128" s="9"/>
      <c r="X128" s="15"/>
    </row>
    <row r="129" spans="1:24" ht="15.75" customHeight="1">
      <c r="A129" s="3"/>
      <c r="B129" s="10"/>
      <c r="C129" s="5"/>
      <c r="D129" s="11"/>
      <c r="E129" s="11"/>
      <c r="F129" s="11"/>
      <c r="G129" s="21"/>
      <c r="H129" s="11"/>
      <c r="I129" s="11"/>
      <c r="J129" s="11"/>
      <c r="K129" s="11"/>
      <c r="L129" s="11"/>
      <c r="M129" s="14"/>
      <c r="N129" s="14"/>
      <c r="O129" s="14"/>
      <c r="P129" s="7"/>
      <c r="Q129" s="7"/>
      <c r="R129" s="7"/>
      <c r="S129" s="7"/>
      <c r="T129" s="7"/>
      <c r="U129" s="9"/>
      <c r="V129" s="15"/>
      <c r="W129" s="9"/>
      <c r="X129" s="15"/>
    </row>
    <row r="130" spans="1:24" ht="15.75" customHeight="1">
      <c r="A130" s="3"/>
      <c r="B130" s="10"/>
      <c r="C130" s="5"/>
      <c r="D130" s="11"/>
      <c r="E130" s="11"/>
      <c r="F130" s="11"/>
      <c r="G130" s="21"/>
      <c r="H130" s="11"/>
      <c r="I130" s="11"/>
      <c r="J130" s="11"/>
      <c r="K130" s="11"/>
      <c r="L130" s="11"/>
      <c r="M130" s="14"/>
      <c r="N130" s="14"/>
      <c r="O130" s="14"/>
      <c r="P130" s="7"/>
      <c r="Q130" s="7"/>
      <c r="R130" s="7"/>
      <c r="S130" s="7"/>
      <c r="T130" s="7"/>
      <c r="U130" s="9"/>
      <c r="V130" s="15"/>
      <c r="W130" s="9"/>
      <c r="X130" s="15"/>
    </row>
    <row r="131" spans="1:24" ht="15.75" customHeight="1">
      <c r="A131" s="3"/>
      <c r="B131" s="10"/>
      <c r="C131" s="5"/>
      <c r="D131" s="11"/>
      <c r="E131" s="11"/>
      <c r="F131" s="11"/>
      <c r="G131" s="21"/>
      <c r="H131" s="11"/>
      <c r="I131" s="11"/>
      <c r="J131" s="11"/>
      <c r="K131" s="11"/>
      <c r="L131" s="11"/>
      <c r="M131" s="14"/>
      <c r="N131" s="14"/>
      <c r="O131" s="14"/>
      <c r="P131" s="7"/>
      <c r="Q131" s="7"/>
      <c r="R131" s="7"/>
      <c r="S131" s="7"/>
      <c r="T131" s="7"/>
      <c r="U131" s="9"/>
      <c r="V131" s="15"/>
      <c r="W131" s="9"/>
      <c r="X131" s="15"/>
    </row>
    <row r="132" spans="1:24" ht="15.75" customHeight="1">
      <c r="A132" s="3"/>
      <c r="B132" s="10"/>
      <c r="C132" s="5"/>
      <c r="D132" s="11"/>
      <c r="E132" s="11"/>
      <c r="F132" s="11"/>
      <c r="G132" s="21"/>
      <c r="H132" s="11"/>
      <c r="I132" s="11"/>
      <c r="J132" s="11"/>
      <c r="K132" s="11"/>
      <c r="L132" s="11"/>
      <c r="M132" s="14"/>
      <c r="N132" s="14"/>
      <c r="O132" s="14"/>
      <c r="P132" s="7"/>
      <c r="Q132" s="7"/>
      <c r="R132" s="7"/>
      <c r="S132" s="7"/>
      <c r="T132" s="7"/>
      <c r="U132" s="9"/>
      <c r="V132" s="15"/>
      <c r="W132" s="9"/>
      <c r="X132" s="15"/>
    </row>
    <row r="133" spans="1:24" ht="15.75" customHeight="1">
      <c r="A133" s="3"/>
      <c r="B133" s="10"/>
      <c r="C133" s="5"/>
      <c r="D133" s="11"/>
      <c r="E133" s="11"/>
      <c r="F133" s="11"/>
      <c r="G133" s="21"/>
      <c r="H133" s="11"/>
      <c r="I133" s="11"/>
      <c r="J133" s="11"/>
      <c r="K133" s="11"/>
      <c r="L133" s="11"/>
      <c r="M133" s="14"/>
      <c r="N133" s="14"/>
      <c r="O133" s="14"/>
      <c r="P133" s="7"/>
      <c r="Q133" s="7"/>
      <c r="R133" s="7"/>
      <c r="S133" s="7"/>
      <c r="T133" s="7"/>
      <c r="U133" s="9"/>
      <c r="V133" s="15"/>
      <c r="W133" s="9"/>
      <c r="X133" s="15"/>
    </row>
    <row r="134" spans="1:24" ht="15.75" customHeight="1">
      <c r="A134" s="3"/>
      <c r="B134" s="10"/>
      <c r="C134" s="5"/>
      <c r="D134" s="11"/>
      <c r="E134" s="11"/>
      <c r="F134" s="11"/>
      <c r="G134" s="21"/>
      <c r="H134" s="11"/>
      <c r="I134" s="11"/>
      <c r="J134" s="11"/>
      <c r="K134" s="11"/>
      <c r="L134" s="11"/>
      <c r="M134" s="14"/>
      <c r="N134" s="14"/>
      <c r="O134" s="14"/>
      <c r="P134" s="7"/>
      <c r="Q134" s="7"/>
      <c r="R134" s="7"/>
      <c r="S134" s="7"/>
      <c r="T134" s="7"/>
      <c r="U134" s="9"/>
      <c r="V134" s="15"/>
      <c r="W134" s="9"/>
      <c r="X134" s="15"/>
    </row>
    <row r="135" spans="1:24" ht="15.75" customHeight="1">
      <c r="A135" s="2"/>
      <c r="B135" s="9"/>
      <c r="G135" s="20"/>
      <c r="M135" s="12"/>
      <c r="N135" s="12"/>
      <c r="O135" s="12"/>
      <c r="U135" s="9"/>
      <c r="V135" s="15"/>
      <c r="W135" s="9"/>
      <c r="X135" s="15"/>
    </row>
    <row r="136" spans="1:24" ht="15.75" customHeight="1">
      <c r="A136" s="2"/>
      <c r="B136" s="9"/>
      <c r="G136" s="20"/>
      <c r="M136" s="12"/>
      <c r="N136" s="12"/>
      <c r="O136" s="12"/>
      <c r="U136" s="9"/>
      <c r="V136" s="15"/>
      <c r="W136" s="9"/>
      <c r="X136" s="15"/>
    </row>
    <row r="137" spans="1:24" ht="15.75" customHeight="1">
      <c r="A137" s="2"/>
      <c r="B137" s="9"/>
      <c r="G137" s="20"/>
      <c r="M137" s="12"/>
      <c r="N137" s="12"/>
      <c r="O137" s="12"/>
      <c r="U137" s="9"/>
      <c r="V137" s="15"/>
      <c r="W137" s="9"/>
      <c r="X137" s="15"/>
    </row>
    <row r="138" spans="1:24" ht="15.75" customHeight="1">
      <c r="A138" s="2"/>
      <c r="B138" s="9"/>
      <c r="G138" s="20"/>
      <c r="M138" s="12"/>
      <c r="N138" s="12"/>
      <c r="O138" s="12"/>
      <c r="U138" s="9"/>
      <c r="V138" s="15"/>
      <c r="W138" s="9"/>
      <c r="X138" s="15"/>
    </row>
    <row r="139" spans="1:24" ht="15.75" customHeight="1">
      <c r="A139" s="2"/>
      <c r="B139" s="9"/>
      <c r="G139" s="20"/>
      <c r="M139" s="12"/>
      <c r="N139" s="12"/>
      <c r="O139" s="12"/>
      <c r="U139" s="9"/>
      <c r="V139" s="15"/>
      <c r="W139" s="9"/>
      <c r="X139" s="15"/>
    </row>
    <row r="140" spans="1:24" ht="15.75" customHeight="1">
      <c r="A140" s="2"/>
      <c r="B140" s="9"/>
      <c r="G140" s="20"/>
      <c r="M140" s="12"/>
      <c r="N140" s="12"/>
      <c r="O140" s="12"/>
      <c r="U140" s="9"/>
      <c r="V140" s="15"/>
      <c r="W140" s="9"/>
      <c r="X140" s="15"/>
    </row>
    <row r="141" spans="1:24" ht="15.75" customHeight="1">
      <c r="A141" s="2"/>
      <c r="B141" s="9"/>
      <c r="G141" s="20"/>
      <c r="M141" s="12"/>
      <c r="N141" s="12"/>
      <c r="O141" s="12"/>
      <c r="U141" s="9"/>
      <c r="V141" s="15"/>
      <c r="W141" s="9"/>
      <c r="X141" s="15"/>
    </row>
    <row r="142" spans="1:24" ht="15.75" customHeight="1">
      <c r="A142" s="2"/>
      <c r="B142" s="9"/>
      <c r="G142" s="20"/>
      <c r="M142" s="12"/>
      <c r="N142" s="12"/>
      <c r="O142" s="12"/>
      <c r="U142" s="9"/>
      <c r="V142" s="15"/>
      <c r="W142" s="9"/>
      <c r="X142" s="15"/>
    </row>
    <row r="143" spans="1:24" ht="15.75" customHeight="1">
      <c r="A143" s="2"/>
      <c r="B143" s="9"/>
      <c r="G143" s="20"/>
      <c r="M143" s="12"/>
      <c r="N143" s="12"/>
      <c r="O143" s="12"/>
      <c r="U143" s="9"/>
      <c r="V143" s="15"/>
      <c r="W143" s="9"/>
      <c r="X143" s="15"/>
    </row>
    <row r="144" spans="1:24" ht="15.75" customHeight="1">
      <c r="A144" s="2"/>
      <c r="B144" s="9"/>
      <c r="G144" s="20"/>
      <c r="M144" s="12"/>
      <c r="N144" s="12"/>
      <c r="O144" s="12"/>
      <c r="U144" s="9"/>
      <c r="V144" s="15"/>
      <c r="W144" s="9"/>
      <c r="X144" s="15"/>
    </row>
    <row r="145" spans="1:24" ht="15.75" customHeight="1">
      <c r="A145" s="2"/>
      <c r="B145" s="9"/>
      <c r="G145" s="20"/>
      <c r="M145" s="12"/>
      <c r="N145" s="12"/>
      <c r="O145" s="12"/>
      <c r="U145" s="9"/>
      <c r="V145" s="15"/>
      <c r="W145" s="9"/>
      <c r="X145" s="15"/>
    </row>
    <row r="146" spans="1:24" ht="15.75" customHeight="1">
      <c r="A146" s="2"/>
      <c r="B146" s="9"/>
      <c r="G146" s="20"/>
      <c r="M146" s="12"/>
      <c r="N146" s="12"/>
      <c r="O146" s="12"/>
      <c r="U146" s="9"/>
      <c r="V146" s="15"/>
      <c r="W146" s="9"/>
      <c r="X146" s="15"/>
    </row>
    <row r="147" spans="1:24" ht="15.75" customHeight="1">
      <c r="A147" s="2"/>
      <c r="B147" s="9"/>
      <c r="G147" s="20"/>
      <c r="M147" s="12"/>
      <c r="N147" s="12"/>
      <c r="O147" s="12"/>
      <c r="U147" s="9"/>
      <c r="V147" s="15"/>
      <c r="W147" s="9"/>
      <c r="X147" s="15"/>
    </row>
    <row r="148" spans="1:24" ht="15.75" customHeight="1">
      <c r="A148" s="2"/>
      <c r="B148" s="9"/>
      <c r="G148" s="20"/>
      <c r="M148" s="12"/>
      <c r="N148" s="12"/>
      <c r="O148" s="12"/>
      <c r="U148" s="9"/>
      <c r="V148" s="15"/>
      <c r="W148" s="9"/>
      <c r="X148" s="15"/>
    </row>
    <row r="149" spans="1:24" ht="15.75" customHeight="1">
      <c r="A149" s="2"/>
      <c r="B149" s="9"/>
      <c r="G149" s="20"/>
      <c r="M149" s="12"/>
      <c r="N149" s="12"/>
      <c r="O149" s="12"/>
      <c r="U149" s="9"/>
      <c r="V149" s="15"/>
      <c r="W149" s="9"/>
      <c r="X149" s="15"/>
    </row>
    <row r="150" spans="1:24" ht="15.75" customHeight="1">
      <c r="A150" s="2"/>
      <c r="B150" s="9"/>
      <c r="G150" s="20"/>
      <c r="M150" s="12"/>
      <c r="N150" s="12"/>
      <c r="O150" s="12"/>
      <c r="U150" s="9"/>
      <c r="V150" s="15"/>
      <c r="W150" s="9"/>
      <c r="X150" s="15"/>
    </row>
    <row r="151" spans="1:24" ht="15.75" customHeight="1">
      <c r="A151" s="2"/>
      <c r="B151" s="9"/>
      <c r="G151" s="20"/>
      <c r="M151" s="12"/>
      <c r="N151" s="12"/>
      <c r="O151" s="12"/>
      <c r="U151" s="9"/>
      <c r="V151" s="15"/>
      <c r="W151" s="9"/>
      <c r="X151" s="15"/>
    </row>
    <row r="152" spans="1:24" ht="15.75" customHeight="1">
      <c r="A152" s="2"/>
      <c r="B152" s="9"/>
      <c r="G152" s="20"/>
      <c r="M152" s="12"/>
      <c r="N152" s="12"/>
      <c r="O152" s="12"/>
      <c r="U152" s="9"/>
      <c r="V152" s="15"/>
      <c r="W152" s="9"/>
      <c r="X152" s="15"/>
    </row>
    <row r="153" spans="1:24" ht="15.75" customHeight="1">
      <c r="A153" s="2"/>
      <c r="B153" s="9"/>
      <c r="G153" s="20"/>
      <c r="M153" s="12"/>
      <c r="N153" s="12"/>
      <c r="O153" s="12"/>
      <c r="U153" s="9"/>
      <c r="V153" s="15"/>
      <c r="W153" s="9"/>
      <c r="X153" s="15"/>
    </row>
    <row r="154" spans="1:24" ht="15.75" customHeight="1">
      <c r="A154" s="2"/>
      <c r="B154" s="9"/>
      <c r="G154" s="20"/>
      <c r="M154" s="12"/>
      <c r="N154" s="12"/>
      <c r="O154" s="12"/>
      <c r="U154" s="9"/>
      <c r="V154" s="15"/>
      <c r="W154" s="9"/>
      <c r="X154" s="15"/>
    </row>
    <row r="155" spans="1:24" ht="15.75" customHeight="1">
      <c r="A155" s="2"/>
      <c r="B155" s="9"/>
      <c r="G155" s="20"/>
      <c r="M155" s="12"/>
      <c r="N155" s="12"/>
      <c r="O155" s="12"/>
      <c r="U155" s="9"/>
      <c r="V155" s="15"/>
      <c r="W155" s="9"/>
      <c r="X155" s="15"/>
    </row>
    <row r="156" spans="1:24" ht="15.75" customHeight="1">
      <c r="A156" s="2"/>
      <c r="B156" s="9"/>
      <c r="G156" s="20"/>
      <c r="M156" s="12"/>
      <c r="N156" s="12"/>
      <c r="O156" s="12"/>
      <c r="U156" s="9"/>
      <c r="V156" s="15"/>
      <c r="W156" s="9"/>
      <c r="X156" s="15"/>
    </row>
    <row r="157" spans="1:24" ht="15.75" customHeight="1">
      <c r="A157" s="2"/>
      <c r="B157" s="9"/>
      <c r="G157" s="20"/>
      <c r="M157" s="12"/>
      <c r="N157" s="12"/>
      <c r="O157" s="12"/>
      <c r="U157" s="9"/>
      <c r="V157" s="15"/>
      <c r="W157" s="9"/>
      <c r="X157" s="15"/>
    </row>
    <row r="158" spans="1:24" ht="15.75" customHeight="1">
      <c r="A158" s="2"/>
      <c r="B158" s="9"/>
      <c r="G158" s="20"/>
      <c r="M158" s="12"/>
      <c r="N158" s="12"/>
      <c r="O158" s="12"/>
      <c r="U158" s="9"/>
      <c r="V158" s="15"/>
      <c r="W158" s="9"/>
      <c r="X158" s="15"/>
    </row>
    <row r="159" spans="1:24" ht="15.75" customHeight="1">
      <c r="A159" s="2"/>
      <c r="B159" s="9"/>
      <c r="G159" s="20"/>
      <c r="M159" s="12"/>
      <c r="N159" s="12"/>
      <c r="O159" s="12"/>
      <c r="U159" s="9"/>
      <c r="V159" s="15"/>
      <c r="W159" s="9"/>
      <c r="X159" s="15"/>
    </row>
    <row r="160" spans="1:24" ht="15.75" customHeight="1">
      <c r="A160" s="2"/>
      <c r="B160" s="9"/>
      <c r="G160" s="20"/>
      <c r="M160" s="12"/>
      <c r="N160" s="12"/>
      <c r="O160" s="12"/>
      <c r="U160" s="9"/>
      <c r="V160" s="15"/>
      <c r="W160" s="9"/>
      <c r="X160" s="15"/>
    </row>
    <row r="161" spans="1:24" ht="15.75" customHeight="1">
      <c r="A161" s="2"/>
      <c r="B161" s="9"/>
      <c r="G161" s="20"/>
      <c r="M161" s="12"/>
      <c r="N161" s="12"/>
      <c r="O161" s="12"/>
      <c r="U161" s="9"/>
      <c r="V161" s="15"/>
      <c r="W161" s="9"/>
      <c r="X161" s="15"/>
    </row>
    <row r="162" spans="1:24" ht="15.75" customHeight="1">
      <c r="A162" s="2"/>
      <c r="B162" s="9"/>
      <c r="G162" s="20"/>
      <c r="M162" s="12"/>
      <c r="N162" s="12"/>
      <c r="O162" s="12"/>
      <c r="U162" s="9"/>
      <c r="V162" s="15"/>
      <c r="W162" s="9"/>
      <c r="X162" s="15"/>
    </row>
    <row r="163" spans="1:24" ht="15.75" customHeight="1">
      <c r="A163" s="2"/>
      <c r="B163" s="9"/>
      <c r="G163" s="20"/>
      <c r="M163" s="12"/>
      <c r="N163" s="12"/>
      <c r="O163" s="12"/>
      <c r="U163" s="9"/>
      <c r="V163" s="15"/>
      <c r="W163" s="9"/>
      <c r="X163" s="15"/>
    </row>
    <row r="164" spans="1:24" ht="15.75" customHeight="1">
      <c r="A164" s="2"/>
      <c r="B164" s="9"/>
      <c r="G164" s="20"/>
      <c r="M164" s="12"/>
      <c r="N164" s="12"/>
      <c r="O164" s="12"/>
      <c r="U164" s="9"/>
      <c r="V164" s="15"/>
      <c r="W164" s="9"/>
      <c r="X164" s="15"/>
    </row>
    <row r="165" spans="1:24" ht="15.75" customHeight="1">
      <c r="A165" s="2"/>
      <c r="B165" s="9"/>
      <c r="G165" s="20"/>
      <c r="M165" s="12"/>
      <c r="N165" s="12"/>
      <c r="O165" s="12"/>
      <c r="U165" s="9"/>
      <c r="V165" s="15"/>
      <c r="W165" s="9"/>
      <c r="X165" s="15"/>
    </row>
    <row r="166" spans="1:24" ht="15.75" customHeight="1">
      <c r="A166" s="2"/>
      <c r="B166" s="9"/>
      <c r="G166" s="20"/>
      <c r="M166" s="12"/>
      <c r="N166" s="12"/>
      <c r="O166" s="12"/>
      <c r="U166" s="9"/>
      <c r="V166" s="15"/>
      <c r="W166" s="9"/>
      <c r="X166" s="15"/>
    </row>
    <row r="167" spans="1:24" ht="15.75" customHeight="1">
      <c r="A167" s="2"/>
      <c r="B167" s="9"/>
      <c r="G167" s="20"/>
      <c r="M167" s="12"/>
      <c r="N167" s="12"/>
      <c r="O167" s="12"/>
      <c r="U167" s="9"/>
      <c r="V167" s="15"/>
      <c r="W167" s="9"/>
      <c r="X167" s="15"/>
    </row>
    <row r="168" spans="1:24" ht="15.75" customHeight="1">
      <c r="A168" s="2"/>
      <c r="B168" s="9"/>
      <c r="G168" s="20"/>
      <c r="M168" s="12"/>
      <c r="N168" s="12"/>
      <c r="O168" s="12"/>
      <c r="U168" s="9"/>
      <c r="V168" s="15"/>
      <c r="W168" s="9"/>
      <c r="X168" s="15"/>
    </row>
    <row r="169" spans="1:24" ht="15.75" customHeight="1">
      <c r="A169" s="2"/>
      <c r="B169" s="9"/>
      <c r="G169" s="20"/>
      <c r="M169" s="12"/>
      <c r="N169" s="12"/>
      <c r="O169" s="12"/>
      <c r="U169" s="9"/>
      <c r="V169" s="15"/>
      <c r="W169" s="9"/>
      <c r="X169" s="15"/>
    </row>
    <row r="170" spans="1:24" ht="15.75" customHeight="1">
      <c r="A170" s="2"/>
      <c r="B170" s="9"/>
      <c r="G170" s="20"/>
      <c r="M170" s="12"/>
      <c r="N170" s="12"/>
      <c r="O170" s="12"/>
      <c r="U170" s="9"/>
      <c r="V170" s="15"/>
      <c r="W170" s="9"/>
      <c r="X170" s="15"/>
    </row>
    <row r="171" spans="1:24" ht="15.75" customHeight="1">
      <c r="A171" s="2"/>
      <c r="B171" s="9"/>
      <c r="G171" s="20"/>
      <c r="M171" s="12"/>
      <c r="N171" s="12"/>
      <c r="O171" s="12"/>
      <c r="U171" s="9"/>
      <c r="V171" s="15"/>
      <c r="W171" s="9"/>
      <c r="X171" s="15"/>
    </row>
    <row r="172" spans="1:24" ht="15.75" customHeight="1">
      <c r="A172" s="2"/>
      <c r="B172" s="9"/>
      <c r="G172" s="20"/>
      <c r="M172" s="12"/>
      <c r="N172" s="12"/>
      <c r="O172" s="12"/>
      <c r="U172" s="9"/>
      <c r="V172" s="15"/>
      <c r="W172" s="9"/>
      <c r="X172" s="15"/>
    </row>
    <row r="173" spans="1:24" ht="15.75" customHeight="1">
      <c r="A173" s="2"/>
      <c r="B173" s="9"/>
      <c r="G173" s="20"/>
      <c r="M173" s="12"/>
      <c r="N173" s="12"/>
      <c r="O173" s="12"/>
      <c r="U173" s="9"/>
      <c r="V173" s="15"/>
      <c r="W173" s="9"/>
      <c r="X173" s="15"/>
    </row>
    <row r="174" spans="1:24" ht="15.75" customHeight="1">
      <c r="A174" s="2"/>
      <c r="B174" s="9"/>
      <c r="G174" s="20"/>
      <c r="M174" s="12"/>
      <c r="N174" s="12"/>
      <c r="O174" s="12"/>
      <c r="U174" s="9"/>
      <c r="V174" s="15"/>
      <c r="W174" s="9"/>
      <c r="X174" s="15"/>
    </row>
    <row r="175" spans="1:24" ht="15.75" customHeight="1">
      <c r="A175" s="2"/>
      <c r="B175" s="9"/>
      <c r="G175" s="20"/>
      <c r="M175" s="12"/>
      <c r="N175" s="12"/>
      <c r="O175" s="12"/>
      <c r="U175" s="9"/>
      <c r="V175" s="15"/>
      <c r="W175" s="9"/>
      <c r="X175" s="15"/>
    </row>
    <row r="176" spans="1:24" ht="15.75" customHeight="1">
      <c r="A176" s="2"/>
      <c r="B176" s="9"/>
      <c r="G176" s="20"/>
      <c r="M176" s="12"/>
      <c r="N176" s="12"/>
      <c r="O176" s="12"/>
      <c r="U176" s="9"/>
      <c r="V176" s="15"/>
      <c r="W176" s="9"/>
      <c r="X176" s="15"/>
    </row>
    <row r="177" spans="1:24" ht="15.75" customHeight="1">
      <c r="A177" s="2"/>
      <c r="B177" s="9"/>
      <c r="G177" s="20"/>
      <c r="M177" s="12"/>
      <c r="N177" s="12"/>
      <c r="O177" s="12"/>
      <c r="U177" s="9"/>
      <c r="V177" s="15"/>
      <c r="W177" s="9"/>
      <c r="X177" s="15"/>
    </row>
    <row r="178" spans="1:24" ht="15.75" customHeight="1">
      <c r="A178" s="2"/>
      <c r="B178" s="9"/>
      <c r="G178" s="20"/>
      <c r="M178" s="12"/>
      <c r="N178" s="12"/>
      <c r="O178" s="12"/>
      <c r="U178" s="9"/>
      <c r="V178" s="15"/>
      <c r="W178" s="9"/>
      <c r="X178" s="15"/>
    </row>
    <row r="179" spans="1:24" ht="15.75" customHeight="1">
      <c r="A179" s="2"/>
      <c r="B179" s="9"/>
      <c r="G179" s="20"/>
      <c r="M179" s="12"/>
      <c r="N179" s="12"/>
      <c r="O179" s="12"/>
      <c r="U179" s="9"/>
      <c r="V179" s="15"/>
      <c r="W179" s="9"/>
      <c r="X179" s="15"/>
    </row>
    <row r="180" spans="1:24" ht="15.75" customHeight="1">
      <c r="A180" s="2"/>
      <c r="B180" s="9"/>
      <c r="G180" s="20"/>
      <c r="M180" s="12"/>
      <c r="N180" s="12"/>
      <c r="O180" s="12"/>
      <c r="U180" s="9"/>
      <c r="V180" s="15"/>
      <c r="W180" s="9"/>
      <c r="X180" s="15"/>
    </row>
    <row r="181" spans="1:24" ht="15.75" customHeight="1">
      <c r="A181" s="2"/>
      <c r="B181" s="9"/>
      <c r="G181" s="20"/>
      <c r="M181" s="12"/>
      <c r="N181" s="12"/>
      <c r="O181" s="12"/>
      <c r="U181" s="9"/>
      <c r="V181" s="15"/>
      <c r="W181" s="9"/>
      <c r="X181" s="15"/>
    </row>
    <row r="182" spans="1:24" ht="15.75" customHeight="1">
      <c r="A182" s="2"/>
      <c r="B182" s="9"/>
      <c r="G182" s="20"/>
      <c r="M182" s="12"/>
      <c r="N182" s="12"/>
      <c r="O182" s="12"/>
      <c r="U182" s="9"/>
      <c r="V182" s="15"/>
      <c r="W182" s="9"/>
      <c r="X182" s="15"/>
    </row>
    <row r="183" spans="1:24" ht="15.75" customHeight="1">
      <c r="A183" s="2"/>
      <c r="B183" s="9"/>
      <c r="G183" s="20"/>
      <c r="M183" s="12"/>
      <c r="N183" s="12"/>
      <c r="O183" s="12"/>
      <c r="U183" s="9"/>
      <c r="V183" s="15"/>
      <c r="W183" s="9"/>
      <c r="X183" s="15"/>
    </row>
    <row r="184" spans="1:24" ht="15.75" customHeight="1">
      <c r="A184" s="2"/>
      <c r="B184" s="9"/>
      <c r="G184" s="20"/>
      <c r="M184" s="12"/>
      <c r="N184" s="12"/>
      <c r="O184" s="12"/>
      <c r="U184" s="9"/>
      <c r="V184" s="15"/>
      <c r="W184" s="9"/>
      <c r="X184" s="15"/>
    </row>
    <row r="185" spans="1:24" ht="15.75" customHeight="1">
      <c r="A185" s="2"/>
      <c r="B185" s="9"/>
      <c r="G185" s="20"/>
      <c r="M185" s="12"/>
      <c r="N185" s="12"/>
      <c r="O185" s="12"/>
      <c r="U185" s="9"/>
      <c r="V185" s="15"/>
      <c r="W185" s="9"/>
      <c r="X185" s="15"/>
    </row>
    <row r="186" spans="1:24" ht="15.75" customHeight="1">
      <c r="A186" s="2"/>
      <c r="B186" s="9"/>
      <c r="G186" s="20"/>
      <c r="M186" s="12"/>
      <c r="N186" s="12"/>
      <c r="O186" s="12"/>
      <c r="U186" s="9"/>
      <c r="V186" s="15"/>
      <c r="W186" s="9"/>
      <c r="X186" s="15"/>
    </row>
    <row r="187" spans="1:24" ht="15.75" customHeight="1">
      <c r="A187" s="2"/>
      <c r="B187" s="9"/>
      <c r="G187" s="20"/>
      <c r="M187" s="12"/>
      <c r="N187" s="12"/>
      <c r="O187" s="12"/>
      <c r="U187" s="9"/>
      <c r="V187" s="15"/>
      <c r="W187" s="9"/>
      <c r="X187" s="15"/>
    </row>
    <row r="188" spans="1:24" ht="15.75" customHeight="1">
      <c r="A188" s="2"/>
      <c r="B188" s="9"/>
      <c r="G188" s="20"/>
      <c r="M188" s="12"/>
      <c r="N188" s="12"/>
      <c r="O188" s="12"/>
      <c r="U188" s="9"/>
      <c r="V188" s="15"/>
      <c r="W188" s="9"/>
      <c r="X188" s="15"/>
    </row>
    <row r="189" spans="1:24" ht="15.75" customHeight="1">
      <c r="A189" s="2"/>
      <c r="B189" s="9"/>
      <c r="G189" s="20"/>
      <c r="M189" s="12"/>
      <c r="N189" s="12"/>
      <c r="O189" s="12"/>
      <c r="U189" s="9"/>
      <c r="V189" s="15"/>
      <c r="W189" s="9"/>
      <c r="X189" s="15"/>
    </row>
    <row r="190" spans="1:24" ht="15.75" customHeight="1">
      <c r="A190" s="2"/>
      <c r="B190" s="9"/>
      <c r="G190" s="20"/>
      <c r="M190" s="12"/>
      <c r="N190" s="12"/>
      <c r="O190" s="12"/>
      <c r="U190" s="9"/>
      <c r="V190" s="15"/>
      <c r="W190" s="9"/>
      <c r="X190" s="15"/>
    </row>
    <row r="191" spans="1:24" ht="15.75" customHeight="1">
      <c r="A191" s="2"/>
      <c r="B191" s="9"/>
      <c r="G191" s="20"/>
      <c r="M191" s="12"/>
      <c r="N191" s="12"/>
      <c r="O191" s="12"/>
      <c r="U191" s="9"/>
      <c r="V191" s="15"/>
      <c r="W191" s="9"/>
      <c r="X191" s="15"/>
    </row>
    <row r="192" spans="1:24" ht="15.75" customHeight="1">
      <c r="A192" s="2"/>
      <c r="B192" s="9"/>
      <c r="G192" s="20"/>
      <c r="M192" s="12"/>
      <c r="N192" s="12"/>
      <c r="O192" s="12"/>
      <c r="U192" s="9"/>
      <c r="V192" s="15"/>
      <c r="W192" s="9"/>
      <c r="X192" s="15"/>
    </row>
    <row r="193" spans="1:24" ht="15.75" customHeight="1">
      <c r="A193" s="2"/>
      <c r="B193" s="9"/>
      <c r="G193" s="20"/>
      <c r="M193" s="12"/>
      <c r="N193" s="12"/>
      <c r="O193" s="12"/>
      <c r="U193" s="9"/>
      <c r="V193" s="15"/>
      <c r="W193" s="9"/>
      <c r="X193" s="15"/>
    </row>
    <row r="194" spans="1:24" ht="15.75" customHeight="1">
      <c r="A194" s="2"/>
      <c r="B194" s="9"/>
      <c r="G194" s="20"/>
      <c r="M194" s="12"/>
      <c r="N194" s="12"/>
      <c r="O194" s="12"/>
      <c r="U194" s="9"/>
      <c r="V194" s="15"/>
      <c r="W194" s="9"/>
      <c r="X194" s="15"/>
    </row>
    <row r="195" spans="1:24" ht="15.75" customHeight="1">
      <c r="A195" s="2"/>
      <c r="B195" s="9"/>
      <c r="G195" s="20"/>
      <c r="M195" s="12"/>
      <c r="N195" s="12"/>
      <c r="O195" s="12"/>
      <c r="U195" s="9"/>
      <c r="V195" s="15"/>
      <c r="W195" s="9"/>
      <c r="X195" s="15"/>
    </row>
    <row r="196" spans="1:24" ht="15.75" customHeight="1">
      <c r="A196" s="2"/>
      <c r="B196" s="9"/>
      <c r="G196" s="20"/>
      <c r="M196" s="12"/>
      <c r="N196" s="12"/>
      <c r="O196" s="12"/>
      <c r="U196" s="9"/>
      <c r="V196" s="15"/>
      <c r="W196" s="9"/>
      <c r="X196" s="15"/>
    </row>
    <row r="197" spans="1:24" ht="15.75" customHeight="1">
      <c r="A197" s="2"/>
      <c r="B197" s="9"/>
      <c r="G197" s="20"/>
      <c r="M197" s="12"/>
      <c r="N197" s="12"/>
      <c r="O197" s="12"/>
      <c r="U197" s="9"/>
      <c r="V197" s="15"/>
      <c r="W197" s="9"/>
      <c r="X197" s="15"/>
    </row>
    <row r="198" spans="1:24" ht="15.75" customHeight="1">
      <c r="A198" s="2"/>
      <c r="B198" s="9"/>
      <c r="G198" s="20"/>
      <c r="M198" s="12"/>
      <c r="N198" s="12"/>
      <c r="O198" s="12"/>
      <c r="U198" s="9"/>
      <c r="V198" s="15"/>
      <c r="W198" s="9"/>
      <c r="X198" s="15"/>
    </row>
    <row r="199" spans="1:24" ht="15.75" customHeight="1">
      <c r="A199" s="2"/>
      <c r="B199" s="9"/>
      <c r="G199" s="20"/>
      <c r="M199" s="12"/>
      <c r="N199" s="12"/>
      <c r="O199" s="12"/>
      <c r="U199" s="9"/>
      <c r="V199" s="15"/>
      <c r="W199" s="9"/>
      <c r="X199" s="15"/>
    </row>
    <row r="200" spans="1:24" ht="15.75" customHeight="1">
      <c r="A200" s="2"/>
      <c r="B200" s="9"/>
      <c r="G200" s="20"/>
      <c r="M200" s="12"/>
      <c r="N200" s="12"/>
      <c r="O200" s="12"/>
      <c r="U200" s="9"/>
      <c r="V200" s="15"/>
      <c r="W200" s="9"/>
      <c r="X200" s="15"/>
    </row>
    <row r="201" spans="1:24" ht="15.75" customHeight="1">
      <c r="A201" s="2"/>
      <c r="B201" s="9"/>
      <c r="G201" s="20"/>
      <c r="M201" s="12"/>
      <c r="N201" s="12"/>
      <c r="O201" s="12"/>
      <c r="U201" s="9"/>
      <c r="V201" s="15"/>
      <c r="W201" s="9"/>
      <c r="X201" s="15"/>
    </row>
    <row r="202" spans="1:24" ht="15.75" customHeight="1">
      <c r="A202" s="2"/>
      <c r="B202" s="9"/>
      <c r="G202" s="20"/>
      <c r="M202" s="12"/>
      <c r="N202" s="12"/>
      <c r="O202" s="12"/>
      <c r="U202" s="9"/>
      <c r="V202" s="15"/>
      <c r="W202" s="9"/>
      <c r="X202" s="15"/>
    </row>
    <row r="203" spans="1:24" ht="15.75" customHeight="1">
      <c r="A203" s="2"/>
      <c r="B203" s="9"/>
      <c r="G203" s="20"/>
      <c r="M203" s="12"/>
      <c r="N203" s="12"/>
      <c r="O203" s="12"/>
      <c r="U203" s="9"/>
      <c r="V203" s="15"/>
      <c r="W203" s="9"/>
      <c r="X203" s="15"/>
    </row>
    <row r="204" spans="1:24" ht="15.75" customHeight="1">
      <c r="A204" s="2"/>
      <c r="B204" s="9"/>
      <c r="G204" s="20"/>
      <c r="M204" s="12"/>
      <c r="N204" s="12"/>
      <c r="O204" s="12"/>
      <c r="U204" s="9"/>
      <c r="V204" s="15"/>
      <c r="W204" s="9"/>
      <c r="X204" s="15"/>
    </row>
    <row r="205" spans="1:24" ht="15.75" customHeight="1">
      <c r="A205" s="2"/>
      <c r="B205" s="9"/>
      <c r="G205" s="20"/>
      <c r="M205" s="12"/>
      <c r="N205" s="12"/>
      <c r="O205" s="12"/>
      <c r="U205" s="9"/>
      <c r="V205" s="15"/>
      <c r="W205" s="9"/>
      <c r="X205" s="15"/>
    </row>
    <row r="206" spans="1:24" ht="15.75" customHeight="1">
      <c r="A206" s="2"/>
      <c r="B206" s="9"/>
      <c r="G206" s="20"/>
      <c r="M206" s="12"/>
      <c r="N206" s="12"/>
      <c r="O206" s="12"/>
      <c r="U206" s="9"/>
      <c r="V206" s="15"/>
      <c r="W206" s="9"/>
      <c r="X206" s="15"/>
    </row>
    <row r="207" spans="1:24" ht="15.75" customHeight="1">
      <c r="A207" s="2"/>
      <c r="B207" s="9"/>
      <c r="G207" s="20"/>
      <c r="M207" s="12"/>
      <c r="N207" s="12"/>
      <c r="O207" s="12"/>
      <c r="U207" s="9"/>
      <c r="V207" s="15"/>
      <c r="W207" s="9"/>
      <c r="X207" s="15"/>
    </row>
    <row r="208" spans="1:24" ht="15.75" customHeight="1">
      <c r="A208" s="2"/>
      <c r="B208" s="9"/>
      <c r="G208" s="20"/>
      <c r="M208" s="12"/>
      <c r="N208" s="12"/>
      <c r="O208" s="12"/>
      <c r="U208" s="9"/>
      <c r="V208" s="15"/>
      <c r="W208" s="9"/>
      <c r="X208" s="15"/>
    </row>
    <row r="209" spans="1:24" ht="15.75" customHeight="1">
      <c r="A209" s="2"/>
      <c r="B209" s="9"/>
      <c r="G209" s="20"/>
      <c r="M209" s="12"/>
      <c r="N209" s="12"/>
      <c r="O209" s="12"/>
      <c r="U209" s="9"/>
      <c r="V209" s="15"/>
      <c r="W209" s="9"/>
      <c r="X209" s="15"/>
    </row>
    <row r="210" spans="1:24" ht="15.75" customHeight="1">
      <c r="A210" s="2"/>
      <c r="B210" s="9"/>
      <c r="G210" s="20"/>
      <c r="M210" s="12"/>
      <c r="N210" s="12"/>
      <c r="O210" s="12"/>
      <c r="U210" s="9"/>
      <c r="V210" s="15"/>
      <c r="W210" s="9"/>
      <c r="X210" s="15"/>
    </row>
    <row r="211" spans="1:24" ht="15.75" customHeight="1">
      <c r="A211" s="2"/>
      <c r="B211" s="9"/>
      <c r="G211" s="20"/>
      <c r="M211" s="12"/>
      <c r="N211" s="12"/>
      <c r="O211" s="12"/>
      <c r="U211" s="9"/>
      <c r="V211" s="15"/>
      <c r="W211" s="9"/>
      <c r="X211" s="15"/>
    </row>
    <row r="212" spans="1:24" ht="15.75" customHeight="1">
      <c r="A212" s="2"/>
      <c r="B212" s="9"/>
      <c r="G212" s="20"/>
      <c r="M212" s="12"/>
      <c r="N212" s="12"/>
      <c r="O212" s="12"/>
      <c r="U212" s="9"/>
      <c r="V212" s="15"/>
      <c r="W212" s="9"/>
      <c r="X212" s="15"/>
    </row>
    <row r="213" spans="1:24" ht="15.75" customHeight="1">
      <c r="A213" s="2"/>
      <c r="B213" s="9"/>
      <c r="G213" s="20"/>
      <c r="M213" s="12"/>
      <c r="N213" s="12"/>
      <c r="O213" s="12"/>
      <c r="U213" s="9"/>
      <c r="V213" s="15"/>
      <c r="W213" s="9"/>
      <c r="X213" s="15"/>
    </row>
    <row r="214" spans="1:24" ht="15.75" customHeight="1">
      <c r="A214" s="2"/>
      <c r="B214" s="9"/>
      <c r="G214" s="20"/>
      <c r="M214" s="12"/>
      <c r="N214" s="12"/>
      <c r="O214" s="12"/>
      <c r="U214" s="9"/>
      <c r="V214" s="15"/>
      <c r="W214" s="9"/>
      <c r="X214" s="15"/>
    </row>
    <row r="215" spans="1:24" ht="15.75" customHeight="1">
      <c r="A215" s="2"/>
      <c r="B215" s="9"/>
      <c r="G215" s="20"/>
      <c r="M215" s="12"/>
      <c r="N215" s="12"/>
      <c r="O215" s="12"/>
      <c r="U215" s="9"/>
      <c r="V215" s="15"/>
      <c r="W215" s="9"/>
      <c r="X215" s="15"/>
    </row>
    <row r="216" spans="1:24" ht="15.75" customHeight="1">
      <c r="A216" s="2"/>
      <c r="B216" s="9"/>
      <c r="G216" s="20"/>
      <c r="M216" s="12"/>
      <c r="N216" s="12"/>
      <c r="O216" s="12"/>
      <c r="U216" s="9"/>
      <c r="V216" s="15"/>
      <c r="W216" s="9"/>
      <c r="X216" s="15"/>
    </row>
    <row r="217" spans="1:24" ht="15.75" customHeight="1">
      <c r="A217" s="2"/>
      <c r="B217" s="9"/>
      <c r="G217" s="20"/>
      <c r="M217" s="12"/>
      <c r="N217" s="12"/>
      <c r="O217" s="12"/>
      <c r="U217" s="9"/>
      <c r="V217" s="15"/>
      <c r="W217" s="9"/>
      <c r="X217" s="15"/>
    </row>
    <row r="218" spans="1:24" ht="15.75" customHeight="1">
      <c r="A218" s="2"/>
      <c r="B218" s="9"/>
      <c r="G218" s="20"/>
      <c r="M218" s="12"/>
      <c r="N218" s="12"/>
      <c r="O218" s="12"/>
      <c r="U218" s="9"/>
      <c r="V218" s="15"/>
      <c r="W218" s="9"/>
      <c r="X218" s="15"/>
    </row>
    <row r="219" spans="1:24" ht="15.75" customHeight="1">
      <c r="A219" s="2"/>
      <c r="B219" s="9"/>
      <c r="G219" s="20"/>
      <c r="M219" s="12"/>
      <c r="N219" s="12"/>
      <c r="O219" s="12"/>
      <c r="U219" s="9"/>
      <c r="V219" s="15"/>
      <c r="W219" s="9"/>
      <c r="X219" s="15"/>
    </row>
    <row r="220" spans="1:24" ht="15.75" customHeight="1">
      <c r="A220" s="2"/>
      <c r="B220" s="9"/>
      <c r="G220" s="20"/>
      <c r="M220" s="12"/>
      <c r="N220" s="12"/>
      <c r="O220" s="12"/>
      <c r="U220" s="9"/>
      <c r="V220" s="15"/>
      <c r="W220" s="9"/>
      <c r="X220" s="15"/>
    </row>
    <row r="221" spans="1:24" ht="15.75" customHeight="1">
      <c r="A221" s="2"/>
      <c r="B221" s="9"/>
      <c r="G221" s="20"/>
      <c r="M221" s="12"/>
      <c r="N221" s="12"/>
      <c r="O221" s="12"/>
      <c r="U221" s="9"/>
      <c r="V221" s="15"/>
      <c r="W221" s="9"/>
      <c r="X221" s="15"/>
    </row>
    <row r="222" spans="1:24" ht="15.75" customHeight="1">
      <c r="A222" s="2"/>
      <c r="B222" s="9"/>
      <c r="G222" s="20"/>
      <c r="M222" s="12"/>
      <c r="N222" s="12"/>
      <c r="O222" s="12"/>
      <c r="U222" s="9"/>
      <c r="V222" s="15"/>
      <c r="W222" s="9"/>
      <c r="X222" s="15"/>
    </row>
    <row r="223" spans="1:24" ht="15.75" customHeight="1">
      <c r="A223" s="2"/>
      <c r="B223" s="9"/>
      <c r="G223" s="20"/>
      <c r="M223" s="12"/>
      <c r="N223" s="12"/>
      <c r="O223" s="12"/>
      <c r="U223" s="9"/>
      <c r="V223" s="15"/>
      <c r="W223" s="9"/>
      <c r="X223" s="15"/>
    </row>
    <row r="224" spans="1:24" ht="15.75" customHeight="1">
      <c r="A224" s="2"/>
      <c r="B224" s="9"/>
      <c r="G224" s="20"/>
      <c r="M224" s="12"/>
      <c r="N224" s="12"/>
      <c r="O224" s="12"/>
      <c r="U224" s="9"/>
      <c r="V224" s="15"/>
      <c r="W224" s="9"/>
      <c r="X224" s="15"/>
    </row>
    <row r="225" spans="1:24" ht="15.75" customHeight="1">
      <c r="A225" s="2"/>
      <c r="B225" s="9"/>
      <c r="G225" s="20"/>
      <c r="M225" s="12"/>
      <c r="N225" s="12"/>
      <c r="O225" s="12"/>
      <c r="U225" s="9"/>
      <c r="V225" s="15"/>
      <c r="W225" s="9"/>
      <c r="X225" s="15"/>
    </row>
    <row r="226" spans="1:24" ht="15.75" customHeight="1">
      <c r="A226" s="2"/>
      <c r="B226" s="9"/>
      <c r="G226" s="20"/>
      <c r="M226" s="12"/>
      <c r="N226" s="12"/>
      <c r="O226" s="12"/>
      <c r="U226" s="9"/>
      <c r="V226" s="15"/>
      <c r="W226" s="9"/>
      <c r="X226" s="15"/>
    </row>
    <row r="227" spans="1:24" ht="15.75" customHeight="1">
      <c r="A227" s="2"/>
      <c r="B227" s="9"/>
      <c r="G227" s="20"/>
      <c r="M227" s="12"/>
      <c r="N227" s="12"/>
      <c r="O227" s="12"/>
      <c r="U227" s="9"/>
      <c r="V227" s="15"/>
      <c r="W227" s="9"/>
      <c r="X227" s="15"/>
    </row>
    <row r="228" spans="1:24" ht="15.75" customHeight="1">
      <c r="A228" s="2"/>
      <c r="B228" s="9"/>
      <c r="G228" s="20"/>
      <c r="M228" s="12"/>
      <c r="N228" s="12"/>
      <c r="O228" s="12"/>
      <c r="U228" s="9"/>
      <c r="V228" s="15"/>
      <c r="W228" s="9"/>
      <c r="X228" s="15"/>
    </row>
    <row r="229" spans="1:24" ht="15.75" customHeight="1">
      <c r="A229" s="2"/>
      <c r="B229" s="9"/>
      <c r="G229" s="20"/>
      <c r="M229" s="12"/>
      <c r="N229" s="12"/>
      <c r="O229" s="12"/>
      <c r="U229" s="9"/>
      <c r="V229" s="15"/>
      <c r="W229" s="9"/>
      <c r="X229" s="15"/>
    </row>
    <row r="230" spans="1:24" ht="15.75" customHeight="1">
      <c r="A230" s="2"/>
      <c r="B230" s="9"/>
      <c r="G230" s="20"/>
      <c r="M230" s="12"/>
      <c r="N230" s="12"/>
      <c r="O230" s="12"/>
      <c r="U230" s="9"/>
      <c r="V230" s="15"/>
      <c r="W230" s="9"/>
      <c r="X230" s="15"/>
    </row>
    <row r="231" spans="1:24" ht="15.75" customHeight="1">
      <c r="A231" s="2"/>
      <c r="B231" s="9"/>
      <c r="G231" s="20"/>
      <c r="M231" s="12"/>
      <c r="N231" s="12"/>
      <c r="O231" s="12"/>
      <c r="U231" s="9"/>
      <c r="V231" s="15"/>
      <c r="W231" s="9"/>
      <c r="X231" s="15"/>
    </row>
    <row r="232" spans="1:24" ht="15.75" customHeight="1">
      <c r="A232" s="2"/>
      <c r="B232" s="9"/>
      <c r="G232" s="20"/>
      <c r="M232" s="12"/>
      <c r="N232" s="12"/>
      <c r="O232" s="12"/>
      <c r="U232" s="9"/>
      <c r="V232" s="15"/>
      <c r="W232" s="9"/>
      <c r="X232" s="15"/>
    </row>
    <row r="233" spans="1:24" ht="15.75" customHeight="1">
      <c r="A233" s="2"/>
      <c r="B233" s="9"/>
      <c r="G233" s="20"/>
      <c r="M233" s="12"/>
      <c r="N233" s="12"/>
      <c r="O233" s="12"/>
      <c r="U233" s="9"/>
      <c r="V233" s="15"/>
      <c r="W233" s="9"/>
      <c r="X233" s="15"/>
    </row>
    <row r="234" spans="1:24" ht="15.75" customHeight="1">
      <c r="A234" s="2"/>
      <c r="B234" s="9"/>
      <c r="G234" s="20"/>
      <c r="M234" s="12"/>
      <c r="N234" s="12"/>
      <c r="O234" s="12"/>
      <c r="U234" s="9"/>
      <c r="V234" s="15"/>
      <c r="W234" s="9"/>
      <c r="X234" s="15"/>
    </row>
    <row r="235" spans="1:24" ht="15.75" customHeight="1">
      <c r="A235" s="2"/>
      <c r="B235" s="9"/>
      <c r="G235" s="20"/>
      <c r="M235" s="12"/>
      <c r="N235" s="12"/>
      <c r="O235" s="12"/>
      <c r="U235" s="9"/>
      <c r="V235" s="15"/>
      <c r="W235" s="9"/>
      <c r="X235" s="15"/>
    </row>
    <row r="236" spans="1:24" ht="15.75" customHeight="1">
      <c r="A236" s="2"/>
      <c r="B236" s="9"/>
      <c r="G236" s="20"/>
      <c r="M236" s="12"/>
      <c r="N236" s="12"/>
      <c r="O236" s="12"/>
      <c r="U236" s="9"/>
      <c r="V236" s="15"/>
      <c r="W236" s="9"/>
      <c r="X236" s="15"/>
    </row>
    <row r="237" spans="1:24" ht="15.75" customHeight="1">
      <c r="A237" s="2"/>
      <c r="B237" s="9"/>
      <c r="G237" s="20"/>
      <c r="M237" s="12"/>
      <c r="N237" s="12"/>
      <c r="O237" s="12"/>
      <c r="U237" s="9"/>
      <c r="V237" s="15"/>
      <c r="W237" s="9"/>
      <c r="X237" s="15"/>
    </row>
    <row r="238" spans="1:24" ht="15.75" customHeight="1">
      <c r="A238" s="2"/>
      <c r="B238" s="9"/>
      <c r="G238" s="20"/>
      <c r="M238" s="12"/>
      <c r="N238" s="12"/>
      <c r="O238" s="12"/>
      <c r="U238" s="9"/>
      <c r="V238" s="15"/>
      <c r="W238" s="9"/>
      <c r="X238" s="15"/>
    </row>
    <row r="239" spans="1:24" ht="15.75" customHeight="1">
      <c r="A239" s="2"/>
      <c r="B239" s="9"/>
      <c r="G239" s="20"/>
      <c r="M239" s="12"/>
      <c r="N239" s="12"/>
      <c r="O239" s="12"/>
      <c r="U239" s="9"/>
      <c r="V239" s="15"/>
      <c r="W239" s="9"/>
      <c r="X239" s="15"/>
    </row>
    <row r="240" spans="1:24" ht="15.75" customHeight="1">
      <c r="A240" s="2"/>
      <c r="B240" s="9"/>
      <c r="G240" s="20"/>
      <c r="M240" s="12"/>
      <c r="N240" s="12"/>
      <c r="O240" s="12"/>
      <c r="U240" s="9"/>
      <c r="V240" s="15"/>
      <c r="W240" s="9"/>
      <c r="X240" s="15"/>
    </row>
    <row r="241" spans="1:24" ht="15.75" customHeight="1">
      <c r="A241" s="2"/>
      <c r="B241" s="9"/>
      <c r="G241" s="20"/>
      <c r="M241" s="12"/>
      <c r="N241" s="12"/>
      <c r="O241" s="12"/>
      <c r="U241" s="9"/>
      <c r="V241" s="15"/>
      <c r="W241" s="9"/>
      <c r="X241" s="15"/>
    </row>
    <row r="242" spans="1:24" ht="15.75" customHeight="1">
      <c r="A242" s="2"/>
      <c r="B242" s="9"/>
      <c r="G242" s="20"/>
      <c r="M242" s="12"/>
      <c r="N242" s="12"/>
      <c r="O242" s="12"/>
      <c r="U242" s="9"/>
      <c r="V242" s="15"/>
      <c r="W242" s="9"/>
      <c r="X242" s="15"/>
    </row>
    <row r="243" spans="1:24" ht="15.75" customHeight="1">
      <c r="A243" s="2"/>
      <c r="B243" s="9"/>
      <c r="G243" s="20"/>
      <c r="M243" s="12"/>
      <c r="N243" s="12"/>
      <c r="O243" s="12"/>
      <c r="U243" s="9"/>
      <c r="V243" s="15"/>
      <c r="W243" s="9"/>
      <c r="X243" s="15"/>
    </row>
    <row r="244" spans="1:24" ht="15.75" customHeight="1">
      <c r="A244" s="2"/>
      <c r="B244" s="9"/>
      <c r="G244" s="20"/>
      <c r="M244" s="12"/>
      <c r="N244" s="12"/>
      <c r="O244" s="12"/>
      <c r="U244" s="9"/>
      <c r="V244" s="15"/>
      <c r="W244" s="9"/>
      <c r="X244" s="15"/>
    </row>
    <row r="245" spans="1:24" ht="15.75" customHeight="1">
      <c r="A245" s="2"/>
      <c r="B245" s="9"/>
      <c r="G245" s="20"/>
      <c r="M245" s="12"/>
      <c r="N245" s="12"/>
      <c r="O245" s="12"/>
      <c r="U245" s="9"/>
      <c r="V245" s="15"/>
      <c r="W245" s="9"/>
      <c r="X245" s="15"/>
    </row>
    <row r="246" spans="1:24" ht="15.75" customHeight="1">
      <c r="A246" s="2"/>
      <c r="B246" s="9"/>
      <c r="G246" s="20"/>
      <c r="M246" s="12"/>
      <c r="N246" s="12"/>
      <c r="O246" s="12"/>
      <c r="U246" s="9"/>
      <c r="V246" s="15"/>
      <c r="W246" s="9"/>
      <c r="X246" s="15"/>
    </row>
    <row r="247" spans="1:24" ht="15.75" customHeight="1">
      <c r="A247" s="2"/>
      <c r="B247" s="9"/>
      <c r="G247" s="20"/>
      <c r="M247" s="12"/>
      <c r="N247" s="12"/>
      <c r="O247" s="12"/>
      <c r="U247" s="9"/>
      <c r="V247" s="15"/>
      <c r="W247" s="9"/>
      <c r="X247" s="15"/>
    </row>
    <row r="248" spans="1:24" ht="15.75" customHeight="1">
      <c r="A248" s="2"/>
      <c r="B248" s="9"/>
      <c r="G248" s="20"/>
      <c r="M248" s="12"/>
      <c r="N248" s="12"/>
      <c r="O248" s="12"/>
      <c r="U248" s="9"/>
      <c r="V248" s="15"/>
      <c r="W248" s="9"/>
      <c r="X248" s="15"/>
    </row>
    <row r="249" spans="1:24" ht="15.75" customHeight="1">
      <c r="A249" s="2"/>
      <c r="B249" s="9"/>
      <c r="G249" s="20"/>
      <c r="M249" s="12"/>
      <c r="N249" s="12"/>
      <c r="O249" s="12"/>
      <c r="U249" s="9"/>
      <c r="V249" s="15"/>
      <c r="W249" s="9"/>
      <c r="X249" s="15"/>
    </row>
    <row r="250" spans="1:24" ht="15.75" customHeight="1">
      <c r="A250" s="2"/>
      <c r="B250" s="9"/>
      <c r="G250" s="20"/>
      <c r="M250" s="12"/>
      <c r="N250" s="12"/>
      <c r="O250" s="12"/>
      <c r="U250" s="9"/>
      <c r="V250" s="15"/>
      <c r="W250" s="9"/>
      <c r="X250" s="15"/>
    </row>
    <row r="251" spans="1:24" ht="15.75" customHeight="1">
      <c r="A251" s="2"/>
      <c r="B251" s="9"/>
      <c r="G251" s="20"/>
      <c r="M251" s="12"/>
      <c r="N251" s="12"/>
      <c r="O251" s="12"/>
      <c r="U251" s="9"/>
      <c r="V251" s="15"/>
      <c r="W251" s="9"/>
      <c r="X251" s="15"/>
    </row>
    <row r="252" spans="1:24" ht="15.75" customHeight="1">
      <c r="A252" s="2"/>
      <c r="B252" s="9"/>
      <c r="G252" s="20"/>
      <c r="M252" s="12"/>
      <c r="N252" s="12"/>
      <c r="O252" s="12"/>
      <c r="U252" s="9"/>
      <c r="V252" s="15"/>
      <c r="W252" s="9"/>
      <c r="X252" s="15"/>
    </row>
    <row r="253" spans="1:24" ht="15.75" customHeight="1">
      <c r="A253" s="2"/>
      <c r="B253" s="9"/>
      <c r="G253" s="20"/>
      <c r="M253" s="12"/>
      <c r="N253" s="12"/>
      <c r="O253" s="12"/>
      <c r="U253" s="9"/>
      <c r="V253" s="15"/>
      <c r="W253" s="9"/>
      <c r="X253" s="15"/>
    </row>
    <row r="254" spans="1:24" ht="15.75" customHeight="1">
      <c r="A254" s="2"/>
      <c r="B254" s="9"/>
      <c r="G254" s="20"/>
      <c r="M254" s="12"/>
      <c r="N254" s="12"/>
      <c r="O254" s="12"/>
      <c r="U254" s="9"/>
      <c r="V254" s="15"/>
      <c r="W254" s="9"/>
      <c r="X254" s="15"/>
    </row>
    <row r="255" spans="1:24" ht="15.75" customHeight="1">
      <c r="A255" s="2"/>
      <c r="B255" s="9"/>
      <c r="G255" s="20"/>
      <c r="M255" s="12"/>
      <c r="N255" s="12"/>
      <c r="O255" s="12"/>
      <c r="U255" s="9"/>
      <c r="V255" s="15"/>
      <c r="W255" s="9"/>
      <c r="X255" s="15"/>
    </row>
    <row r="256" spans="1:24" ht="15.75" customHeight="1">
      <c r="A256" s="2"/>
      <c r="B256" s="9"/>
      <c r="G256" s="20"/>
      <c r="M256" s="12"/>
      <c r="N256" s="12"/>
      <c r="O256" s="12"/>
      <c r="U256" s="9"/>
      <c r="V256" s="15"/>
      <c r="W256" s="9"/>
      <c r="X256" s="15"/>
    </row>
    <row r="257" spans="1:24" ht="15.75" customHeight="1">
      <c r="A257" s="2"/>
      <c r="B257" s="9"/>
      <c r="G257" s="20"/>
      <c r="M257" s="12"/>
      <c r="N257" s="12"/>
      <c r="O257" s="12"/>
      <c r="U257" s="9"/>
      <c r="V257" s="15"/>
      <c r="W257" s="9"/>
      <c r="X257" s="15"/>
    </row>
    <row r="258" spans="1:24" ht="15.75" customHeight="1">
      <c r="A258" s="2"/>
      <c r="B258" s="9"/>
      <c r="G258" s="20"/>
      <c r="M258" s="12"/>
      <c r="N258" s="12"/>
      <c r="O258" s="12"/>
      <c r="U258" s="9"/>
      <c r="V258" s="15"/>
      <c r="W258" s="9"/>
      <c r="X258" s="15"/>
    </row>
    <row r="259" spans="1:24" ht="15.75" customHeight="1">
      <c r="A259" s="2"/>
      <c r="B259" s="9"/>
      <c r="G259" s="20"/>
      <c r="M259" s="12"/>
      <c r="N259" s="12"/>
      <c r="O259" s="12"/>
      <c r="U259" s="9"/>
      <c r="V259" s="15"/>
      <c r="W259" s="9"/>
      <c r="X259" s="15"/>
    </row>
    <row r="260" spans="1:24" ht="15.75" customHeight="1">
      <c r="A260" s="2"/>
      <c r="B260" s="9"/>
      <c r="G260" s="20"/>
      <c r="M260" s="12"/>
      <c r="N260" s="12"/>
      <c r="O260" s="12"/>
      <c r="U260" s="9"/>
      <c r="V260" s="15"/>
      <c r="W260" s="9"/>
      <c r="X260" s="15"/>
    </row>
    <row r="261" spans="1:24" ht="15.75" customHeight="1">
      <c r="A261" s="2"/>
      <c r="B261" s="9"/>
      <c r="G261" s="20"/>
      <c r="M261" s="12"/>
      <c r="N261" s="12"/>
      <c r="O261" s="12"/>
      <c r="U261" s="9"/>
      <c r="V261" s="15"/>
      <c r="W261" s="9"/>
      <c r="X261" s="15"/>
    </row>
    <row r="262" spans="1:24" ht="15.75" customHeight="1">
      <c r="A262" s="2"/>
      <c r="B262" s="9"/>
      <c r="G262" s="20"/>
      <c r="M262" s="12"/>
      <c r="N262" s="12"/>
      <c r="O262" s="12"/>
      <c r="U262" s="9"/>
      <c r="V262" s="15"/>
      <c r="W262" s="9"/>
      <c r="X262" s="15"/>
    </row>
    <row r="263" spans="1:24" ht="15.75" customHeight="1">
      <c r="A263" s="2"/>
      <c r="B263" s="9"/>
      <c r="G263" s="20"/>
      <c r="M263" s="12"/>
      <c r="N263" s="12"/>
      <c r="O263" s="12"/>
      <c r="U263" s="9"/>
      <c r="V263" s="15"/>
      <c r="W263" s="9"/>
      <c r="X263" s="15"/>
    </row>
    <row r="264" spans="1:24" ht="15.75" customHeight="1">
      <c r="A264" s="2"/>
      <c r="B264" s="9"/>
      <c r="G264" s="20"/>
      <c r="M264" s="12"/>
      <c r="N264" s="12"/>
      <c r="O264" s="12"/>
      <c r="U264" s="9"/>
      <c r="V264" s="15"/>
      <c r="W264" s="9"/>
      <c r="X264" s="15"/>
    </row>
    <row r="265" spans="1:24" ht="15.75" customHeight="1">
      <c r="A265" s="2"/>
      <c r="B265" s="9"/>
      <c r="G265" s="20"/>
      <c r="M265" s="12"/>
      <c r="N265" s="12"/>
      <c r="O265" s="12"/>
      <c r="U265" s="9"/>
      <c r="V265" s="15"/>
      <c r="W265" s="9"/>
      <c r="X265" s="15"/>
    </row>
    <row r="266" spans="1:24" ht="15.75" customHeight="1">
      <c r="A266" s="2"/>
      <c r="B266" s="9"/>
      <c r="G266" s="20"/>
      <c r="M266" s="12"/>
      <c r="N266" s="12"/>
      <c r="O266" s="12"/>
      <c r="U266" s="9"/>
      <c r="V266" s="15"/>
      <c r="W266" s="9"/>
      <c r="X266" s="15"/>
    </row>
    <row r="267" spans="1:24" ht="15.75" customHeight="1">
      <c r="A267" s="2"/>
      <c r="B267" s="9"/>
      <c r="G267" s="20"/>
      <c r="M267" s="12"/>
      <c r="N267" s="12"/>
      <c r="O267" s="12"/>
      <c r="U267" s="9"/>
      <c r="V267" s="15"/>
      <c r="W267" s="9"/>
      <c r="X267" s="15"/>
    </row>
    <row r="268" spans="1:24" ht="15.75" customHeight="1">
      <c r="A268" s="2"/>
      <c r="B268" s="9"/>
      <c r="G268" s="20"/>
      <c r="M268" s="12"/>
      <c r="N268" s="12"/>
      <c r="O268" s="12"/>
      <c r="U268" s="9"/>
      <c r="V268" s="15"/>
      <c r="W268" s="9"/>
      <c r="X268" s="15"/>
    </row>
    <row r="269" spans="1:24" ht="15.75" customHeight="1">
      <c r="A269" s="2"/>
      <c r="B269" s="9"/>
      <c r="G269" s="20"/>
      <c r="M269" s="12"/>
      <c r="N269" s="12"/>
      <c r="O269" s="12"/>
      <c r="U269" s="9"/>
      <c r="V269" s="15"/>
      <c r="W269" s="9"/>
      <c r="X269" s="15"/>
    </row>
    <row r="270" spans="1:24" ht="15.75" customHeight="1">
      <c r="A270" s="2"/>
      <c r="B270" s="9"/>
      <c r="G270" s="20"/>
      <c r="M270" s="12"/>
      <c r="N270" s="12"/>
      <c r="O270" s="12"/>
      <c r="U270" s="9"/>
      <c r="V270" s="15"/>
      <c r="W270" s="9"/>
      <c r="X270" s="15"/>
    </row>
    <row r="271" spans="1:24" ht="15.75" customHeight="1">
      <c r="A271" s="2"/>
      <c r="B271" s="9"/>
      <c r="G271" s="20"/>
      <c r="M271" s="12"/>
      <c r="N271" s="12"/>
      <c r="O271" s="12"/>
      <c r="U271" s="9"/>
      <c r="V271" s="15"/>
      <c r="W271" s="9"/>
      <c r="X271" s="15"/>
    </row>
    <row r="272" spans="1:24" ht="15.75" customHeight="1">
      <c r="A272" s="2"/>
      <c r="B272" s="9"/>
      <c r="G272" s="20"/>
      <c r="M272" s="12"/>
      <c r="N272" s="12"/>
      <c r="O272" s="12"/>
      <c r="U272" s="9"/>
      <c r="V272" s="15"/>
      <c r="W272" s="9"/>
      <c r="X272" s="15"/>
    </row>
    <row r="273" spans="1:24" ht="15.75" customHeight="1">
      <c r="A273" s="2"/>
      <c r="B273" s="9"/>
      <c r="G273" s="20"/>
      <c r="M273" s="12"/>
      <c r="N273" s="12"/>
      <c r="O273" s="12"/>
      <c r="U273" s="9"/>
      <c r="V273" s="15"/>
      <c r="W273" s="9"/>
      <c r="X273" s="15"/>
    </row>
    <row r="274" spans="1:24" ht="15.75" customHeight="1">
      <c r="A274" s="2"/>
      <c r="B274" s="9"/>
      <c r="G274" s="20"/>
      <c r="M274" s="12"/>
      <c r="N274" s="12"/>
      <c r="O274" s="12"/>
      <c r="U274" s="9"/>
      <c r="V274" s="15"/>
      <c r="W274" s="9"/>
      <c r="X274" s="15"/>
    </row>
    <row r="275" spans="1:24" ht="15.75" customHeight="1">
      <c r="A275" s="2"/>
      <c r="B275" s="9"/>
      <c r="G275" s="20"/>
      <c r="M275" s="12"/>
      <c r="N275" s="12"/>
      <c r="O275" s="12"/>
      <c r="U275" s="9"/>
      <c r="V275" s="15"/>
      <c r="W275" s="9"/>
      <c r="X275" s="15"/>
    </row>
    <row r="276" spans="1:24" ht="15.75" customHeight="1">
      <c r="A276" s="2"/>
      <c r="B276" s="9"/>
      <c r="G276" s="20"/>
      <c r="M276" s="12"/>
      <c r="N276" s="12"/>
      <c r="O276" s="12"/>
      <c r="U276" s="9"/>
      <c r="V276" s="15"/>
      <c r="W276" s="9"/>
      <c r="X276" s="15"/>
    </row>
    <row r="277" spans="1:24" ht="15.75" customHeight="1">
      <c r="A277" s="2"/>
      <c r="B277" s="9"/>
      <c r="G277" s="20"/>
      <c r="M277" s="12"/>
      <c r="N277" s="12"/>
      <c r="O277" s="12"/>
      <c r="U277" s="9"/>
      <c r="V277" s="15"/>
      <c r="W277" s="9"/>
      <c r="X277" s="15"/>
    </row>
    <row r="278" spans="1:24" ht="15.75" customHeight="1">
      <c r="A278" s="2"/>
      <c r="B278" s="9"/>
      <c r="G278" s="20"/>
      <c r="M278" s="12"/>
      <c r="N278" s="12"/>
      <c r="O278" s="12"/>
      <c r="U278" s="9"/>
      <c r="V278" s="15"/>
      <c r="W278" s="9"/>
      <c r="X278" s="15"/>
    </row>
    <row r="279" spans="1:24" ht="15.75" customHeight="1">
      <c r="A279" s="2"/>
      <c r="B279" s="9"/>
      <c r="G279" s="20"/>
      <c r="M279" s="12"/>
      <c r="N279" s="12"/>
      <c r="O279" s="12"/>
      <c r="U279" s="9"/>
      <c r="V279" s="15"/>
      <c r="W279" s="9"/>
      <c r="X279" s="15"/>
    </row>
    <row r="280" spans="1:24" ht="15.75" customHeight="1">
      <c r="A280" s="2"/>
      <c r="B280" s="9"/>
      <c r="G280" s="20"/>
      <c r="M280" s="12"/>
      <c r="N280" s="12"/>
      <c r="O280" s="12"/>
      <c r="U280" s="9"/>
      <c r="V280" s="15"/>
      <c r="W280" s="9"/>
      <c r="X280" s="15"/>
    </row>
    <row r="281" spans="1:24" ht="15.75" customHeight="1">
      <c r="A281" s="2"/>
      <c r="B281" s="9"/>
      <c r="G281" s="20"/>
      <c r="M281" s="12"/>
      <c r="N281" s="12"/>
      <c r="O281" s="12"/>
      <c r="U281" s="9"/>
      <c r="V281" s="15"/>
      <c r="W281" s="9"/>
      <c r="X281" s="15"/>
    </row>
    <row r="282" spans="1:24" ht="15.75" customHeight="1">
      <c r="A282" s="2"/>
      <c r="B282" s="9"/>
      <c r="G282" s="20"/>
      <c r="M282" s="12"/>
      <c r="N282" s="12"/>
      <c r="O282" s="12"/>
      <c r="U282" s="9"/>
      <c r="V282" s="15"/>
      <c r="W282" s="9"/>
      <c r="X282" s="15"/>
    </row>
    <row r="283" spans="1:24" ht="15.75" customHeight="1">
      <c r="A283" s="2"/>
      <c r="B283" s="9"/>
      <c r="G283" s="20"/>
      <c r="M283" s="12"/>
      <c r="N283" s="12"/>
      <c r="O283" s="12"/>
      <c r="U283" s="9"/>
      <c r="V283" s="15"/>
      <c r="W283" s="9"/>
      <c r="X283" s="15"/>
    </row>
    <row r="284" spans="1:24" ht="15.75" customHeight="1">
      <c r="A284" s="2"/>
      <c r="B284" s="9"/>
      <c r="G284" s="20"/>
      <c r="M284" s="12"/>
      <c r="N284" s="12"/>
      <c r="O284" s="12"/>
      <c r="U284" s="9"/>
      <c r="V284" s="15"/>
      <c r="W284" s="9"/>
      <c r="X284" s="15"/>
    </row>
    <row r="285" spans="1:24" ht="15.75" customHeight="1">
      <c r="A285" s="2"/>
      <c r="B285" s="9"/>
      <c r="G285" s="20"/>
      <c r="M285" s="12"/>
      <c r="N285" s="12"/>
      <c r="O285" s="12"/>
      <c r="U285" s="9"/>
      <c r="V285" s="15"/>
      <c r="W285" s="9"/>
      <c r="X285" s="15"/>
    </row>
    <row r="286" spans="1:24" ht="15.75" customHeight="1">
      <c r="A286" s="2"/>
      <c r="B286" s="9"/>
      <c r="G286" s="20"/>
      <c r="M286" s="12"/>
      <c r="N286" s="12"/>
      <c r="O286" s="12"/>
      <c r="U286" s="9"/>
      <c r="V286" s="15"/>
      <c r="W286" s="9"/>
      <c r="X286" s="15"/>
    </row>
    <row r="287" spans="1:24" ht="15.75" customHeight="1">
      <c r="A287" s="2"/>
      <c r="B287" s="9"/>
      <c r="G287" s="20"/>
      <c r="M287" s="12"/>
      <c r="N287" s="12"/>
      <c r="O287" s="12"/>
      <c r="U287" s="9"/>
      <c r="V287" s="15"/>
      <c r="W287" s="9"/>
      <c r="X287" s="15"/>
    </row>
    <row r="288" spans="1:24" ht="15.75" customHeight="1">
      <c r="A288" s="2"/>
      <c r="B288" s="9"/>
      <c r="G288" s="20"/>
      <c r="M288" s="12"/>
      <c r="N288" s="12"/>
      <c r="O288" s="12"/>
      <c r="U288" s="9"/>
      <c r="V288" s="15"/>
      <c r="W288" s="9"/>
      <c r="X288" s="15"/>
    </row>
    <row r="289" spans="1:24" ht="15.75" customHeight="1">
      <c r="A289" s="2"/>
      <c r="B289" s="9"/>
      <c r="G289" s="20"/>
      <c r="M289" s="12"/>
      <c r="N289" s="12"/>
      <c r="O289" s="12"/>
      <c r="U289" s="9"/>
      <c r="V289" s="15"/>
      <c r="W289" s="9"/>
      <c r="X289" s="15"/>
    </row>
    <row r="290" spans="1:24" ht="15.75" customHeight="1">
      <c r="A290" s="2"/>
      <c r="B290" s="9"/>
      <c r="G290" s="20"/>
      <c r="M290" s="12"/>
      <c r="N290" s="12"/>
      <c r="O290" s="12"/>
      <c r="U290" s="9"/>
      <c r="V290" s="15"/>
      <c r="W290" s="9"/>
      <c r="X290" s="15"/>
    </row>
    <row r="291" spans="1:24" ht="15.75" customHeight="1">
      <c r="A291" s="2"/>
      <c r="B291" s="9"/>
      <c r="G291" s="20"/>
      <c r="M291" s="12"/>
      <c r="N291" s="12"/>
      <c r="O291" s="12"/>
      <c r="U291" s="9"/>
      <c r="V291" s="15"/>
      <c r="W291" s="9"/>
      <c r="X291" s="15"/>
    </row>
    <row r="292" spans="1:24" ht="15.75" customHeight="1">
      <c r="A292" s="2"/>
      <c r="B292" s="9"/>
      <c r="G292" s="20"/>
      <c r="M292" s="12"/>
      <c r="N292" s="12"/>
      <c r="O292" s="12"/>
      <c r="U292" s="9"/>
      <c r="V292" s="15"/>
      <c r="W292" s="9"/>
      <c r="X292" s="15"/>
    </row>
    <row r="293" spans="1:24" ht="15.75" customHeight="1">
      <c r="A293" s="2"/>
      <c r="B293" s="9"/>
      <c r="G293" s="20"/>
      <c r="M293" s="12"/>
      <c r="N293" s="12"/>
      <c r="O293" s="12"/>
      <c r="U293" s="9"/>
      <c r="V293" s="15"/>
      <c r="W293" s="9"/>
      <c r="X293" s="15"/>
    </row>
    <row r="294" spans="1:24" ht="15.75" customHeight="1">
      <c r="A294" s="2"/>
      <c r="B294" s="9"/>
      <c r="G294" s="20"/>
      <c r="M294" s="12"/>
      <c r="N294" s="12"/>
      <c r="O294" s="12"/>
      <c r="U294" s="9"/>
      <c r="V294" s="15"/>
      <c r="W294" s="9"/>
      <c r="X294" s="15"/>
    </row>
    <row r="295" spans="1:24" ht="15.75" customHeight="1">
      <c r="A295" s="2"/>
      <c r="B295" s="9"/>
      <c r="G295" s="20"/>
      <c r="M295" s="12"/>
      <c r="N295" s="12"/>
      <c r="O295" s="12"/>
      <c r="U295" s="9"/>
      <c r="V295" s="15"/>
      <c r="W295" s="9"/>
      <c r="X295" s="15"/>
    </row>
    <row r="296" spans="1:24" ht="15.75" customHeight="1">
      <c r="A296" s="2"/>
      <c r="B296" s="9"/>
      <c r="G296" s="20"/>
      <c r="M296" s="12"/>
      <c r="N296" s="12"/>
      <c r="O296" s="12"/>
      <c r="U296" s="9"/>
      <c r="V296" s="15"/>
      <c r="W296" s="9"/>
      <c r="X296" s="15"/>
    </row>
    <row r="297" spans="1:24" ht="15.75" customHeight="1">
      <c r="A297" s="2"/>
      <c r="B297" s="9"/>
      <c r="G297" s="20"/>
      <c r="M297" s="12"/>
      <c r="N297" s="12"/>
      <c r="O297" s="12"/>
      <c r="U297" s="9"/>
      <c r="V297" s="15"/>
      <c r="W297" s="9"/>
      <c r="X297" s="15"/>
    </row>
    <row r="298" spans="1:24" ht="15.75" customHeight="1">
      <c r="A298" s="2"/>
      <c r="B298" s="9"/>
      <c r="G298" s="20"/>
      <c r="M298" s="12"/>
      <c r="N298" s="12"/>
      <c r="O298" s="12"/>
      <c r="U298" s="9"/>
      <c r="V298" s="15"/>
      <c r="W298" s="9"/>
      <c r="X298" s="15"/>
    </row>
    <row r="299" spans="1:24" ht="15.75" customHeight="1">
      <c r="A299" s="2"/>
      <c r="B299" s="9"/>
      <c r="G299" s="20"/>
      <c r="M299" s="12"/>
      <c r="N299" s="12"/>
      <c r="O299" s="12"/>
      <c r="U299" s="9"/>
      <c r="V299" s="15"/>
      <c r="W299" s="9"/>
      <c r="X299" s="15"/>
    </row>
    <row r="300" spans="1:24" ht="15.75" customHeight="1">
      <c r="A300" s="2"/>
      <c r="B300" s="9"/>
      <c r="G300" s="20"/>
      <c r="M300" s="12"/>
      <c r="N300" s="12"/>
      <c r="O300" s="12"/>
      <c r="U300" s="9"/>
      <c r="V300" s="15"/>
      <c r="W300" s="9"/>
      <c r="X300" s="15"/>
    </row>
    <row r="301" spans="1:24" ht="15.75" customHeight="1">
      <c r="A301" s="2"/>
      <c r="B301" s="9"/>
      <c r="G301" s="20"/>
      <c r="M301" s="12"/>
      <c r="N301" s="12"/>
      <c r="O301" s="12"/>
      <c r="U301" s="9"/>
      <c r="V301" s="15"/>
      <c r="W301" s="9"/>
      <c r="X301" s="15"/>
    </row>
    <row r="302" spans="1:24" ht="15.75" customHeight="1">
      <c r="A302" s="2"/>
      <c r="B302" s="9"/>
      <c r="G302" s="20"/>
      <c r="M302" s="12"/>
      <c r="N302" s="12"/>
      <c r="O302" s="12"/>
      <c r="U302" s="9"/>
      <c r="V302" s="15"/>
      <c r="W302" s="9"/>
      <c r="X302" s="15"/>
    </row>
    <row r="303" spans="1:24" ht="15.75" customHeight="1">
      <c r="A303" s="2"/>
      <c r="B303" s="9"/>
      <c r="G303" s="20"/>
      <c r="M303" s="12"/>
      <c r="N303" s="12"/>
      <c r="O303" s="12"/>
      <c r="U303" s="9"/>
      <c r="V303" s="15"/>
      <c r="W303" s="9"/>
      <c r="X303" s="15"/>
    </row>
    <row r="304" spans="1:24" ht="15.75" customHeight="1">
      <c r="A304" s="2"/>
      <c r="B304" s="9"/>
      <c r="G304" s="20"/>
      <c r="M304" s="12"/>
      <c r="N304" s="12"/>
      <c r="O304" s="12"/>
      <c r="U304" s="9"/>
      <c r="V304" s="15"/>
      <c r="W304" s="9"/>
      <c r="X304" s="15"/>
    </row>
    <row r="305" spans="1:24" ht="15.75" customHeight="1">
      <c r="A305" s="2"/>
      <c r="B305" s="9"/>
      <c r="G305" s="20"/>
      <c r="M305" s="12"/>
      <c r="N305" s="12"/>
      <c r="O305" s="12"/>
      <c r="U305" s="9"/>
      <c r="V305" s="15"/>
      <c r="W305" s="9"/>
      <c r="X305" s="15"/>
    </row>
    <row r="306" spans="1:24" ht="15.75" customHeight="1">
      <c r="A306" s="2"/>
      <c r="B306" s="9"/>
      <c r="G306" s="20"/>
      <c r="M306" s="12"/>
      <c r="N306" s="12"/>
      <c r="O306" s="12"/>
      <c r="U306" s="9"/>
      <c r="V306" s="15"/>
      <c r="W306" s="9"/>
      <c r="X306" s="15"/>
    </row>
    <row r="307" spans="1:24" ht="15.75" customHeight="1">
      <c r="A307" s="2"/>
      <c r="B307" s="9"/>
      <c r="G307" s="20"/>
      <c r="M307" s="12"/>
      <c r="N307" s="12"/>
      <c r="O307" s="12"/>
      <c r="U307" s="9"/>
      <c r="V307" s="15"/>
      <c r="W307" s="9"/>
      <c r="X307" s="15"/>
    </row>
    <row r="308" spans="1:24" ht="15.75" customHeight="1">
      <c r="A308" s="2"/>
      <c r="B308" s="9"/>
      <c r="G308" s="20"/>
      <c r="M308" s="12"/>
      <c r="N308" s="12"/>
      <c r="O308" s="12"/>
      <c r="U308" s="9"/>
      <c r="V308" s="15"/>
      <c r="W308" s="9"/>
      <c r="X308" s="15"/>
    </row>
    <row r="309" spans="1:24" ht="15.75" customHeight="1">
      <c r="A309" s="2"/>
      <c r="B309" s="9"/>
      <c r="G309" s="20"/>
      <c r="M309" s="12"/>
      <c r="N309" s="12"/>
      <c r="O309" s="12"/>
      <c r="U309" s="9"/>
      <c r="V309" s="15"/>
      <c r="W309" s="9"/>
      <c r="X309" s="15"/>
    </row>
    <row r="310" spans="1:24" ht="15.75" customHeight="1">
      <c r="A310" s="2"/>
      <c r="B310" s="9"/>
      <c r="G310" s="20"/>
      <c r="M310" s="12"/>
      <c r="N310" s="12"/>
      <c r="O310" s="12"/>
      <c r="U310" s="9"/>
      <c r="V310" s="15"/>
      <c r="W310" s="9"/>
      <c r="X310" s="15"/>
    </row>
    <row r="311" spans="1:24" ht="15.75" customHeight="1">
      <c r="A311" s="2"/>
      <c r="B311" s="9"/>
      <c r="G311" s="20"/>
      <c r="M311" s="12"/>
      <c r="N311" s="12"/>
      <c r="O311" s="12"/>
      <c r="U311" s="9"/>
      <c r="V311" s="15"/>
      <c r="W311" s="9"/>
      <c r="X311" s="15"/>
    </row>
    <row r="312" spans="1:24" ht="15.75" customHeight="1">
      <c r="A312" s="2"/>
      <c r="B312" s="9"/>
      <c r="G312" s="20"/>
      <c r="M312" s="12"/>
      <c r="N312" s="12"/>
      <c r="O312" s="12"/>
      <c r="U312" s="9"/>
      <c r="V312" s="15"/>
      <c r="W312" s="9"/>
      <c r="X312" s="15"/>
    </row>
    <row r="313" spans="1:24" ht="15.75" customHeight="1">
      <c r="A313" s="2"/>
      <c r="B313" s="9"/>
      <c r="G313" s="20"/>
      <c r="M313" s="12"/>
      <c r="N313" s="12"/>
      <c r="O313" s="12"/>
      <c r="U313" s="9"/>
      <c r="V313" s="15"/>
      <c r="W313" s="9"/>
      <c r="X313" s="15"/>
    </row>
    <row r="314" spans="1:24" ht="15.75" customHeight="1">
      <c r="A314" s="2"/>
      <c r="B314" s="9"/>
      <c r="G314" s="20"/>
      <c r="M314" s="12"/>
      <c r="N314" s="12"/>
      <c r="O314" s="12"/>
      <c r="U314" s="9"/>
      <c r="V314" s="15"/>
      <c r="W314" s="9"/>
      <c r="X314" s="15"/>
    </row>
    <row r="315" spans="1:24" ht="15.75" customHeight="1">
      <c r="A315" s="2"/>
      <c r="B315" s="9"/>
      <c r="G315" s="20"/>
      <c r="M315" s="12"/>
      <c r="N315" s="12"/>
      <c r="O315" s="12"/>
      <c r="U315" s="9"/>
      <c r="V315" s="15"/>
      <c r="W315" s="9"/>
      <c r="X315" s="15"/>
    </row>
    <row r="316" spans="1:24" ht="15.75" customHeight="1">
      <c r="A316" s="2"/>
      <c r="B316" s="9"/>
      <c r="G316" s="20"/>
      <c r="M316" s="12"/>
      <c r="N316" s="12"/>
      <c r="O316" s="12"/>
      <c r="U316" s="9"/>
      <c r="V316" s="15"/>
      <c r="W316" s="9"/>
      <c r="X316" s="15"/>
    </row>
    <row r="317" spans="1:24" ht="15.75" customHeight="1">
      <c r="A317" s="2"/>
      <c r="B317" s="9"/>
      <c r="G317" s="20"/>
      <c r="M317" s="12"/>
      <c r="N317" s="12"/>
      <c r="O317" s="12"/>
      <c r="U317" s="9"/>
      <c r="V317" s="15"/>
      <c r="W317" s="9"/>
      <c r="X317" s="15"/>
    </row>
    <row r="318" spans="1:24" ht="15.75" customHeight="1">
      <c r="A318" s="2"/>
      <c r="B318" s="9"/>
      <c r="G318" s="20"/>
      <c r="M318" s="12"/>
      <c r="N318" s="12"/>
      <c r="O318" s="12"/>
      <c r="U318" s="9"/>
      <c r="V318" s="15"/>
      <c r="W318" s="9"/>
      <c r="X318" s="15"/>
    </row>
    <row r="319" spans="1:24" ht="15.75" customHeight="1">
      <c r="A319" s="2"/>
      <c r="B319" s="9"/>
      <c r="G319" s="20"/>
      <c r="M319" s="12"/>
      <c r="N319" s="12"/>
      <c r="O319" s="12"/>
      <c r="U319" s="9"/>
      <c r="V319" s="15"/>
      <c r="W319" s="9"/>
      <c r="X319" s="15"/>
    </row>
    <row r="320" spans="1:24" ht="15.75" customHeight="1">
      <c r="A320" s="2"/>
      <c r="B320" s="9"/>
      <c r="G320" s="20"/>
      <c r="M320" s="12"/>
      <c r="N320" s="12"/>
      <c r="O320" s="12"/>
      <c r="U320" s="9"/>
      <c r="V320" s="15"/>
      <c r="W320" s="9"/>
      <c r="X320" s="15"/>
    </row>
    <row r="321" spans="1:24" ht="15.75" customHeight="1">
      <c r="A321" s="2"/>
      <c r="B321" s="9"/>
      <c r="G321" s="20"/>
      <c r="M321" s="12"/>
      <c r="N321" s="12"/>
      <c r="O321" s="12"/>
      <c r="U321" s="9"/>
      <c r="V321" s="15"/>
      <c r="W321" s="9"/>
      <c r="X321" s="15"/>
    </row>
    <row r="322" spans="1:24" ht="15.75" customHeight="1">
      <c r="A322" s="2"/>
      <c r="B322" s="9"/>
      <c r="G322" s="20"/>
      <c r="M322" s="12"/>
      <c r="N322" s="12"/>
      <c r="O322" s="12"/>
      <c r="U322" s="9"/>
      <c r="V322" s="15"/>
      <c r="W322" s="9"/>
      <c r="X322" s="15"/>
    </row>
    <row r="323" spans="1:24" ht="15.75" customHeight="1">
      <c r="A323" s="2"/>
      <c r="B323" s="9"/>
      <c r="G323" s="20"/>
      <c r="M323" s="12"/>
      <c r="N323" s="12"/>
      <c r="O323" s="12"/>
      <c r="U323" s="9"/>
      <c r="V323" s="15"/>
      <c r="W323" s="9"/>
      <c r="X323" s="15"/>
    </row>
    <row r="324" spans="1:24" ht="15.75" customHeight="1">
      <c r="A324" s="2"/>
      <c r="B324" s="9"/>
      <c r="G324" s="20"/>
      <c r="M324" s="12"/>
      <c r="N324" s="12"/>
      <c r="O324" s="12"/>
      <c r="U324" s="9"/>
      <c r="V324" s="15"/>
      <c r="W324" s="9"/>
      <c r="X324" s="15"/>
    </row>
    <row r="325" spans="1:24" ht="15.75" customHeight="1">
      <c r="A325" s="2"/>
      <c r="B325" s="9"/>
      <c r="G325" s="20"/>
      <c r="M325" s="12"/>
      <c r="N325" s="12"/>
      <c r="O325" s="12"/>
      <c r="U325" s="9"/>
      <c r="V325" s="15"/>
      <c r="W325" s="9"/>
      <c r="X325" s="15"/>
    </row>
    <row r="326" spans="1:24" ht="15.75" customHeight="1">
      <c r="A326" s="2"/>
      <c r="B326" s="9"/>
      <c r="G326" s="20"/>
      <c r="M326" s="12"/>
      <c r="N326" s="12"/>
      <c r="O326" s="12"/>
      <c r="U326" s="9"/>
      <c r="V326" s="15"/>
      <c r="W326" s="9"/>
      <c r="X326" s="15"/>
    </row>
    <row r="327" spans="1:24" ht="15.75" customHeight="1">
      <c r="A327" s="2"/>
      <c r="B327" s="9"/>
      <c r="G327" s="20"/>
      <c r="M327" s="12"/>
      <c r="N327" s="12"/>
      <c r="O327" s="12"/>
      <c r="U327" s="9"/>
      <c r="V327" s="15"/>
      <c r="W327" s="9"/>
      <c r="X327" s="15"/>
    </row>
    <row r="328" spans="1:24" ht="15.75" customHeight="1">
      <c r="A328" s="2"/>
      <c r="B328" s="9"/>
      <c r="G328" s="20"/>
      <c r="M328" s="12"/>
      <c r="N328" s="12"/>
      <c r="O328" s="12"/>
      <c r="U328" s="9"/>
      <c r="V328" s="15"/>
      <c r="W328" s="9"/>
      <c r="X328" s="15"/>
    </row>
    <row r="329" spans="1:24" ht="15.75" customHeight="1">
      <c r="A329" s="2"/>
      <c r="B329" s="9"/>
      <c r="G329" s="20"/>
      <c r="M329" s="12"/>
      <c r="N329" s="12"/>
      <c r="O329" s="12"/>
      <c r="U329" s="9"/>
      <c r="V329" s="15"/>
      <c r="W329" s="9"/>
      <c r="X329" s="15"/>
    </row>
    <row r="330" spans="1:24" ht="15.75" customHeight="1">
      <c r="A330" s="2"/>
      <c r="B330" s="9"/>
      <c r="G330" s="20"/>
      <c r="M330" s="12"/>
      <c r="N330" s="12"/>
      <c r="O330" s="12"/>
      <c r="U330" s="9"/>
      <c r="V330" s="15"/>
      <c r="W330" s="9"/>
      <c r="X330" s="15"/>
    </row>
    <row r="331" spans="1:24" ht="15.75" customHeight="1">
      <c r="A331" s="2"/>
      <c r="B331" s="9"/>
      <c r="G331" s="20"/>
      <c r="M331" s="12"/>
      <c r="N331" s="12"/>
      <c r="O331" s="12"/>
      <c r="U331" s="9"/>
      <c r="V331" s="15"/>
      <c r="W331" s="9"/>
      <c r="X331" s="15"/>
    </row>
    <row r="332" spans="1:24" ht="15.75" customHeight="1">
      <c r="A332" s="2"/>
      <c r="B332" s="9"/>
      <c r="G332" s="20"/>
      <c r="M332" s="12"/>
      <c r="N332" s="12"/>
      <c r="O332" s="12"/>
      <c r="U332" s="9"/>
      <c r="V332" s="15"/>
      <c r="W332" s="9"/>
      <c r="X332" s="15"/>
    </row>
    <row r="333" spans="1:24" ht="15.75" customHeight="1">
      <c r="A333" s="2"/>
      <c r="B333" s="9"/>
      <c r="G333" s="20"/>
      <c r="M333" s="12"/>
      <c r="N333" s="12"/>
      <c r="O333" s="12"/>
      <c r="U333" s="9"/>
      <c r="V333" s="15"/>
      <c r="W333" s="9"/>
      <c r="X333" s="15"/>
    </row>
    <row r="334" spans="1:24" ht="15.75" customHeight="1">
      <c r="A334" s="2"/>
      <c r="B334" s="9"/>
      <c r="G334" s="20"/>
      <c r="M334" s="12"/>
      <c r="N334" s="12"/>
      <c r="O334" s="12"/>
      <c r="U334" s="9"/>
      <c r="V334" s="15"/>
      <c r="W334" s="9"/>
      <c r="X334" s="15"/>
    </row>
    <row r="335" spans="1:24" ht="15.75" customHeight="1">
      <c r="A335" s="2"/>
      <c r="B335" s="9"/>
      <c r="G335" s="20"/>
      <c r="M335" s="12"/>
      <c r="N335" s="12"/>
      <c r="O335" s="12"/>
      <c r="U335" s="9"/>
      <c r="V335" s="15"/>
      <c r="W335" s="9"/>
      <c r="X335" s="15"/>
    </row>
    <row r="336" spans="1:24" ht="15.75" customHeight="1">
      <c r="A336" s="2"/>
      <c r="B336" s="9"/>
      <c r="G336" s="20"/>
      <c r="M336" s="12"/>
      <c r="N336" s="12"/>
      <c r="O336" s="12"/>
      <c r="U336" s="9"/>
      <c r="V336" s="15"/>
      <c r="W336" s="9"/>
      <c r="X336" s="15"/>
    </row>
    <row r="337" spans="1:24" ht="15.75" customHeight="1">
      <c r="A337" s="2"/>
      <c r="B337" s="9"/>
      <c r="G337" s="20"/>
      <c r="M337" s="12"/>
      <c r="N337" s="12"/>
      <c r="O337" s="12"/>
      <c r="U337" s="9"/>
      <c r="V337" s="15"/>
      <c r="W337" s="9"/>
      <c r="X337" s="15"/>
    </row>
    <row r="338" spans="1:24" ht="15.75" customHeight="1">
      <c r="A338" s="2"/>
      <c r="B338" s="9"/>
      <c r="G338" s="20"/>
      <c r="M338" s="12"/>
      <c r="N338" s="12"/>
      <c r="O338" s="12"/>
      <c r="U338" s="9"/>
      <c r="V338" s="15"/>
      <c r="W338" s="9"/>
      <c r="X338" s="15"/>
    </row>
    <row r="339" spans="1:24" ht="15.75" customHeight="1">
      <c r="A339" s="2"/>
      <c r="B339" s="9"/>
      <c r="G339" s="20"/>
      <c r="M339" s="12"/>
      <c r="N339" s="12"/>
      <c r="O339" s="12"/>
      <c r="U339" s="9"/>
      <c r="V339" s="15"/>
      <c r="W339" s="9"/>
      <c r="X339" s="15"/>
    </row>
    <row r="340" spans="1:24" ht="15.75" customHeight="1">
      <c r="A340" s="2"/>
      <c r="B340" s="9"/>
      <c r="G340" s="20"/>
      <c r="M340" s="12"/>
      <c r="N340" s="12"/>
      <c r="O340" s="12"/>
      <c r="U340" s="9"/>
      <c r="V340" s="15"/>
      <c r="W340" s="9"/>
      <c r="X340" s="15"/>
    </row>
    <row r="341" spans="1:24" ht="15.75" customHeight="1">
      <c r="A341" s="2"/>
      <c r="B341" s="9"/>
      <c r="G341" s="20"/>
      <c r="M341" s="12"/>
      <c r="N341" s="12"/>
      <c r="O341" s="12"/>
      <c r="U341" s="9"/>
      <c r="V341" s="15"/>
      <c r="W341" s="9"/>
      <c r="X341" s="15"/>
    </row>
    <row r="342" spans="1:24" ht="15.75" customHeight="1">
      <c r="A342" s="2"/>
      <c r="B342" s="9"/>
      <c r="G342" s="20"/>
      <c r="M342" s="12"/>
      <c r="N342" s="12"/>
      <c r="O342" s="12"/>
      <c r="U342" s="9"/>
      <c r="V342" s="15"/>
      <c r="W342" s="9"/>
      <c r="X342" s="15"/>
    </row>
    <row r="343" spans="1:24" ht="15.75" customHeight="1">
      <c r="A343" s="2"/>
      <c r="B343" s="9"/>
      <c r="G343" s="20"/>
      <c r="M343" s="12"/>
      <c r="N343" s="12"/>
      <c r="O343" s="12"/>
      <c r="U343" s="9"/>
      <c r="V343" s="15"/>
      <c r="W343" s="9"/>
      <c r="X343" s="15"/>
    </row>
    <row r="344" spans="1:24" ht="15.75" customHeight="1">
      <c r="A344" s="2"/>
      <c r="B344" s="9"/>
      <c r="G344" s="20"/>
      <c r="M344" s="12"/>
      <c r="N344" s="12"/>
      <c r="O344" s="12"/>
      <c r="U344" s="9"/>
      <c r="V344" s="15"/>
      <c r="W344" s="9"/>
      <c r="X344" s="15"/>
    </row>
    <row r="345" spans="1:24" ht="15.75" customHeight="1">
      <c r="A345" s="2"/>
      <c r="B345" s="9"/>
      <c r="G345" s="20"/>
      <c r="M345" s="12"/>
      <c r="N345" s="12"/>
      <c r="O345" s="12"/>
      <c r="U345" s="9"/>
      <c r="V345" s="15"/>
      <c r="W345" s="9"/>
      <c r="X345" s="15"/>
    </row>
    <row r="346" spans="1:24" ht="15.75" customHeight="1">
      <c r="A346" s="2"/>
      <c r="B346" s="9"/>
      <c r="G346" s="20"/>
      <c r="M346" s="12"/>
      <c r="N346" s="12"/>
      <c r="O346" s="12"/>
      <c r="U346" s="9"/>
      <c r="V346" s="15"/>
      <c r="W346" s="9"/>
      <c r="X346" s="15"/>
    </row>
    <row r="347" spans="1:24" ht="15.75" customHeight="1">
      <c r="A347" s="2"/>
      <c r="B347" s="9"/>
      <c r="G347" s="20"/>
      <c r="M347" s="12"/>
      <c r="N347" s="12"/>
      <c r="O347" s="12"/>
      <c r="U347" s="9"/>
      <c r="V347" s="15"/>
      <c r="W347" s="9"/>
      <c r="X347" s="15"/>
    </row>
    <row r="348" spans="1:24" ht="15.75" customHeight="1">
      <c r="A348" s="2"/>
      <c r="B348" s="9"/>
      <c r="G348" s="20"/>
      <c r="M348" s="12"/>
      <c r="N348" s="12"/>
      <c r="O348" s="12"/>
      <c r="U348" s="9"/>
      <c r="V348" s="15"/>
      <c r="W348" s="9"/>
      <c r="X348" s="15"/>
    </row>
    <row r="349" spans="1:24" ht="15.75" customHeight="1">
      <c r="A349" s="2"/>
      <c r="B349" s="9"/>
      <c r="G349" s="20"/>
      <c r="M349" s="12"/>
      <c r="N349" s="12"/>
      <c r="O349" s="12"/>
      <c r="U349" s="9"/>
      <c r="V349" s="15"/>
      <c r="W349" s="9"/>
      <c r="X349" s="15"/>
    </row>
    <row r="350" spans="1:24" ht="15.75" customHeight="1">
      <c r="A350" s="2"/>
      <c r="B350" s="9"/>
      <c r="G350" s="20"/>
      <c r="M350" s="12"/>
      <c r="N350" s="12"/>
      <c r="O350" s="12"/>
      <c r="U350" s="9"/>
      <c r="V350" s="15"/>
      <c r="W350" s="9"/>
      <c r="X350" s="15"/>
    </row>
    <row r="351" spans="1:24" ht="15.75" customHeight="1">
      <c r="A351" s="2"/>
      <c r="B351" s="9"/>
      <c r="G351" s="20"/>
      <c r="M351" s="12"/>
      <c r="N351" s="12"/>
      <c r="O351" s="12"/>
      <c r="U351" s="9"/>
      <c r="V351" s="15"/>
      <c r="W351" s="9"/>
      <c r="X351" s="15"/>
    </row>
    <row r="352" spans="1:24" ht="15.75" customHeight="1">
      <c r="A352" s="2"/>
      <c r="B352" s="9"/>
      <c r="G352" s="20"/>
      <c r="M352" s="12"/>
      <c r="N352" s="12"/>
      <c r="O352" s="12"/>
      <c r="U352" s="9"/>
      <c r="V352" s="15"/>
      <c r="W352" s="9"/>
      <c r="X352" s="15"/>
    </row>
    <row r="353" spans="1:24" ht="15.75" customHeight="1">
      <c r="A353" s="2"/>
      <c r="B353" s="9"/>
      <c r="G353" s="20"/>
      <c r="M353" s="12"/>
      <c r="N353" s="12"/>
      <c r="O353" s="12"/>
      <c r="U353" s="9"/>
      <c r="V353" s="15"/>
      <c r="W353" s="9"/>
      <c r="X353" s="15"/>
    </row>
    <row r="354" spans="1:24" ht="15.75" customHeight="1">
      <c r="A354" s="2"/>
      <c r="B354" s="9"/>
      <c r="G354" s="20"/>
      <c r="M354" s="12"/>
      <c r="N354" s="12"/>
      <c r="O354" s="12"/>
      <c r="U354" s="9"/>
      <c r="V354" s="15"/>
      <c r="W354" s="9"/>
      <c r="X354" s="15"/>
    </row>
    <row r="355" spans="1:24" ht="15.75" customHeight="1">
      <c r="A355" s="2"/>
      <c r="B355" s="9"/>
      <c r="G355" s="20"/>
      <c r="M355" s="12"/>
      <c r="N355" s="12"/>
      <c r="O355" s="12"/>
      <c r="U355" s="9"/>
      <c r="V355" s="15"/>
      <c r="W355" s="9"/>
      <c r="X355" s="15"/>
    </row>
    <row r="356" spans="1:24" ht="15.75" customHeight="1">
      <c r="A356" s="2"/>
      <c r="B356" s="9"/>
      <c r="G356" s="20"/>
      <c r="M356" s="12"/>
      <c r="N356" s="12"/>
      <c r="O356" s="12"/>
      <c r="U356" s="9"/>
      <c r="V356" s="15"/>
      <c r="W356" s="9"/>
      <c r="X356" s="15"/>
    </row>
    <row r="357" spans="1:24" ht="15.75" customHeight="1">
      <c r="A357" s="2"/>
      <c r="B357" s="9"/>
      <c r="G357" s="20"/>
      <c r="M357" s="12"/>
      <c r="N357" s="12"/>
      <c r="O357" s="12"/>
      <c r="U357" s="9"/>
      <c r="V357" s="15"/>
      <c r="W357" s="9"/>
      <c r="X357" s="15"/>
    </row>
    <row r="358" spans="1:24" ht="15.75" customHeight="1">
      <c r="A358" s="2"/>
      <c r="B358" s="9"/>
      <c r="G358" s="20"/>
      <c r="M358" s="12"/>
      <c r="N358" s="12"/>
      <c r="O358" s="12"/>
      <c r="U358" s="9"/>
      <c r="V358" s="15"/>
      <c r="W358" s="9"/>
      <c r="X358" s="15"/>
    </row>
    <row r="359" spans="1:24" ht="15.75" customHeight="1">
      <c r="A359" s="2"/>
      <c r="B359" s="9"/>
      <c r="G359" s="20"/>
      <c r="M359" s="12"/>
      <c r="N359" s="12"/>
      <c r="O359" s="12"/>
      <c r="U359" s="9"/>
      <c r="V359" s="15"/>
      <c r="W359" s="9"/>
      <c r="X359" s="15"/>
    </row>
    <row r="360" spans="1:24" ht="15.75" customHeight="1">
      <c r="A360" s="2"/>
      <c r="B360" s="9"/>
      <c r="G360" s="20"/>
      <c r="M360" s="12"/>
      <c r="N360" s="12"/>
      <c r="O360" s="12"/>
      <c r="U360" s="9"/>
      <c r="V360" s="15"/>
      <c r="W360" s="9"/>
      <c r="X360" s="15"/>
    </row>
    <row r="361" spans="1:24" ht="15.75" customHeight="1">
      <c r="A361" s="2"/>
      <c r="B361" s="9"/>
      <c r="G361" s="20"/>
      <c r="M361" s="12"/>
      <c r="N361" s="12"/>
      <c r="O361" s="12"/>
      <c r="U361" s="9"/>
      <c r="V361" s="15"/>
      <c r="W361" s="9"/>
      <c r="X361" s="15"/>
    </row>
    <row r="362" spans="1:24" ht="15.75" customHeight="1">
      <c r="A362" s="2"/>
      <c r="B362" s="9"/>
      <c r="G362" s="20"/>
      <c r="M362" s="12"/>
      <c r="N362" s="12"/>
      <c r="O362" s="12"/>
      <c r="U362" s="9"/>
      <c r="V362" s="15"/>
      <c r="W362" s="9"/>
      <c r="X362" s="15"/>
    </row>
    <row r="363" spans="1:24" ht="15.75" customHeight="1">
      <c r="A363" s="2"/>
      <c r="B363" s="9"/>
      <c r="G363" s="20"/>
      <c r="M363" s="12"/>
      <c r="N363" s="12"/>
      <c r="O363" s="12"/>
      <c r="U363" s="9"/>
      <c r="V363" s="15"/>
      <c r="W363" s="9"/>
      <c r="X363" s="15"/>
    </row>
    <row r="364" spans="1:24" ht="15.75" customHeight="1">
      <c r="A364" s="2"/>
      <c r="B364" s="9"/>
      <c r="G364" s="20"/>
      <c r="M364" s="12"/>
      <c r="N364" s="12"/>
      <c r="O364" s="12"/>
      <c r="U364" s="9"/>
      <c r="V364" s="15"/>
      <c r="W364" s="9"/>
      <c r="X364" s="15"/>
    </row>
    <row r="365" spans="1:24" ht="15.75" customHeight="1">
      <c r="A365" s="2"/>
      <c r="B365" s="9"/>
      <c r="G365" s="20"/>
      <c r="M365" s="12"/>
      <c r="N365" s="12"/>
      <c r="O365" s="12"/>
      <c r="U365" s="9"/>
      <c r="V365" s="15"/>
      <c r="W365" s="9"/>
      <c r="X365" s="15"/>
    </row>
    <row r="366" spans="1:24" ht="15.75" customHeight="1">
      <c r="A366" s="2"/>
      <c r="B366" s="9"/>
      <c r="G366" s="20"/>
      <c r="M366" s="12"/>
      <c r="N366" s="12"/>
      <c r="O366" s="12"/>
      <c r="U366" s="9"/>
      <c r="V366" s="15"/>
      <c r="W366" s="9"/>
      <c r="X366" s="15"/>
    </row>
    <row r="367" spans="1:24" ht="15.75" customHeight="1">
      <c r="A367" s="2"/>
      <c r="B367" s="9"/>
      <c r="G367" s="20"/>
      <c r="M367" s="12"/>
      <c r="N367" s="12"/>
      <c r="O367" s="12"/>
      <c r="U367" s="9"/>
      <c r="V367" s="15"/>
      <c r="W367" s="9"/>
      <c r="X367" s="15"/>
    </row>
    <row r="368" spans="1:24" ht="15.75" customHeight="1">
      <c r="A368" s="2"/>
      <c r="B368" s="9"/>
      <c r="G368" s="20"/>
      <c r="M368" s="12"/>
      <c r="N368" s="12"/>
      <c r="O368" s="12"/>
      <c r="U368" s="9"/>
      <c r="V368" s="15"/>
      <c r="W368" s="9"/>
      <c r="X368" s="15"/>
    </row>
    <row r="369" spans="1:24" ht="15.75" customHeight="1">
      <c r="A369" s="2"/>
      <c r="B369" s="9"/>
      <c r="G369" s="20"/>
      <c r="M369" s="12"/>
      <c r="N369" s="12"/>
      <c r="O369" s="12"/>
      <c r="U369" s="9"/>
      <c r="V369" s="15"/>
      <c r="W369" s="9"/>
      <c r="X369" s="15"/>
    </row>
    <row r="370" spans="1:24" ht="15.75" customHeight="1">
      <c r="A370" s="2"/>
      <c r="B370" s="9"/>
      <c r="G370" s="20"/>
      <c r="M370" s="12"/>
      <c r="N370" s="12"/>
      <c r="O370" s="12"/>
      <c r="U370" s="9"/>
      <c r="V370" s="15"/>
      <c r="W370" s="9"/>
      <c r="X370" s="15"/>
    </row>
    <row r="371" spans="1:24" ht="15.75" customHeight="1">
      <c r="A371" s="2"/>
      <c r="B371" s="9"/>
      <c r="G371" s="20"/>
      <c r="M371" s="12"/>
      <c r="N371" s="12"/>
      <c r="O371" s="12"/>
      <c r="U371" s="9"/>
      <c r="V371" s="15"/>
      <c r="W371" s="9"/>
      <c r="X371" s="15"/>
    </row>
    <row r="372" spans="1:24" ht="15.75" customHeight="1">
      <c r="A372" s="2"/>
      <c r="B372" s="9"/>
      <c r="G372" s="20"/>
      <c r="M372" s="12"/>
      <c r="N372" s="12"/>
      <c r="O372" s="12"/>
      <c r="U372" s="9"/>
      <c r="V372" s="15"/>
      <c r="W372" s="9"/>
      <c r="X372" s="15"/>
    </row>
    <row r="373" spans="1:24" ht="15.75" customHeight="1">
      <c r="A373" s="2"/>
      <c r="B373" s="9"/>
      <c r="G373" s="20"/>
      <c r="M373" s="12"/>
      <c r="N373" s="12"/>
      <c r="O373" s="12"/>
      <c r="U373" s="9"/>
      <c r="V373" s="15"/>
      <c r="W373" s="9"/>
      <c r="X373" s="15"/>
    </row>
    <row r="374" spans="1:24" ht="15.75" customHeight="1">
      <c r="A374" s="2"/>
      <c r="B374" s="9"/>
      <c r="G374" s="20"/>
      <c r="M374" s="12"/>
      <c r="N374" s="12"/>
      <c r="O374" s="12"/>
      <c r="U374" s="9"/>
      <c r="V374" s="15"/>
      <c r="W374" s="9"/>
      <c r="X374" s="15"/>
    </row>
    <row r="375" spans="1:24" ht="15.75" customHeight="1">
      <c r="A375" s="2"/>
      <c r="B375" s="9"/>
      <c r="G375" s="20"/>
      <c r="M375" s="12"/>
      <c r="N375" s="12"/>
      <c r="O375" s="12"/>
      <c r="U375" s="9"/>
      <c r="V375" s="15"/>
      <c r="W375" s="9"/>
      <c r="X375" s="15"/>
    </row>
    <row r="376" spans="1:24" ht="15.75" customHeight="1">
      <c r="A376" s="2"/>
      <c r="B376" s="9"/>
      <c r="G376" s="20"/>
      <c r="M376" s="12"/>
      <c r="N376" s="12"/>
      <c r="O376" s="12"/>
      <c r="U376" s="9"/>
      <c r="V376" s="15"/>
      <c r="W376" s="9"/>
      <c r="X376" s="15"/>
    </row>
    <row r="377" spans="1:24" ht="15.75" customHeight="1">
      <c r="A377" s="2"/>
      <c r="B377" s="9"/>
      <c r="G377" s="20"/>
      <c r="M377" s="12"/>
      <c r="N377" s="12"/>
      <c r="O377" s="12"/>
      <c r="U377" s="9"/>
      <c r="V377" s="15"/>
      <c r="W377" s="9"/>
      <c r="X377" s="15"/>
    </row>
    <row r="378" spans="1:24" ht="15.75" customHeight="1">
      <c r="A378" s="2"/>
      <c r="B378" s="9"/>
      <c r="G378" s="20"/>
      <c r="M378" s="12"/>
      <c r="N378" s="12"/>
      <c r="O378" s="12"/>
      <c r="U378" s="9"/>
      <c r="V378" s="15"/>
      <c r="W378" s="9"/>
      <c r="X378" s="15"/>
    </row>
    <row r="379" spans="1:24" ht="15.75" customHeight="1">
      <c r="A379" s="2"/>
      <c r="B379" s="9"/>
      <c r="G379" s="20"/>
      <c r="M379" s="12"/>
      <c r="N379" s="12"/>
      <c r="O379" s="12"/>
      <c r="U379" s="9"/>
      <c r="V379" s="15"/>
      <c r="W379" s="9"/>
      <c r="X379" s="15"/>
    </row>
    <row r="380" spans="1:24" ht="15.75" customHeight="1">
      <c r="A380" s="2"/>
      <c r="B380" s="9"/>
      <c r="G380" s="20"/>
      <c r="M380" s="12"/>
      <c r="N380" s="12"/>
      <c r="O380" s="12"/>
      <c r="U380" s="9"/>
      <c r="V380" s="15"/>
      <c r="W380" s="9"/>
      <c r="X380" s="15"/>
    </row>
    <row r="381" spans="1:24" ht="15.75" customHeight="1">
      <c r="A381" s="2"/>
      <c r="B381" s="9"/>
      <c r="G381" s="20"/>
      <c r="M381" s="12"/>
      <c r="N381" s="12"/>
      <c r="O381" s="12"/>
      <c r="U381" s="9"/>
      <c r="V381" s="15"/>
      <c r="W381" s="9"/>
      <c r="X381" s="15"/>
    </row>
    <row r="382" spans="1:24" ht="15.75" customHeight="1">
      <c r="A382" s="2"/>
      <c r="B382" s="9"/>
      <c r="G382" s="20"/>
      <c r="M382" s="12"/>
      <c r="N382" s="12"/>
      <c r="O382" s="12"/>
      <c r="U382" s="9"/>
      <c r="V382" s="15"/>
      <c r="W382" s="9"/>
      <c r="X382" s="15"/>
    </row>
    <row r="383" spans="1:24" ht="15.75" customHeight="1">
      <c r="A383" s="2"/>
      <c r="B383" s="9"/>
      <c r="G383" s="20"/>
      <c r="M383" s="12"/>
      <c r="N383" s="12"/>
      <c r="O383" s="12"/>
      <c r="U383" s="9"/>
      <c r="V383" s="15"/>
      <c r="W383" s="9"/>
      <c r="X383" s="15"/>
    </row>
    <row r="384" spans="1:24" ht="15.75" customHeight="1">
      <c r="A384" s="2"/>
      <c r="B384" s="9"/>
      <c r="G384" s="20"/>
      <c r="M384" s="12"/>
      <c r="N384" s="12"/>
      <c r="O384" s="12"/>
      <c r="U384" s="9"/>
      <c r="V384" s="15"/>
      <c r="W384" s="9"/>
      <c r="X384" s="15"/>
    </row>
    <row r="385" spans="1:24" ht="15.75" customHeight="1">
      <c r="A385" s="2"/>
      <c r="B385" s="9"/>
      <c r="G385" s="20"/>
      <c r="M385" s="12"/>
      <c r="N385" s="12"/>
      <c r="O385" s="12"/>
      <c r="U385" s="9"/>
      <c r="V385" s="15"/>
      <c r="W385" s="9"/>
      <c r="X385" s="15"/>
    </row>
    <row r="386" spans="1:24" ht="15.75" customHeight="1">
      <c r="A386" s="2"/>
      <c r="B386" s="9"/>
      <c r="G386" s="20"/>
      <c r="M386" s="12"/>
      <c r="N386" s="12"/>
      <c r="O386" s="12"/>
      <c r="U386" s="9"/>
      <c r="V386" s="15"/>
      <c r="W386" s="9"/>
      <c r="X386" s="15"/>
    </row>
    <row r="387" spans="1:24" ht="15.75" customHeight="1">
      <c r="A387" s="2"/>
      <c r="B387" s="9"/>
      <c r="G387" s="20"/>
      <c r="M387" s="12"/>
      <c r="N387" s="12"/>
      <c r="O387" s="12"/>
      <c r="U387" s="9"/>
      <c r="V387" s="15"/>
      <c r="W387" s="9"/>
      <c r="X387" s="15"/>
    </row>
    <row r="388" spans="1:24" ht="15.75" customHeight="1">
      <c r="A388" s="2"/>
      <c r="B388" s="9"/>
      <c r="G388" s="20"/>
      <c r="M388" s="12"/>
      <c r="N388" s="12"/>
      <c r="O388" s="12"/>
      <c r="U388" s="9"/>
      <c r="V388" s="15"/>
      <c r="W388" s="9"/>
      <c r="X388" s="15"/>
    </row>
    <row r="389" spans="1:24" ht="15.75" customHeight="1">
      <c r="A389" s="2"/>
      <c r="B389" s="9"/>
      <c r="G389" s="20"/>
      <c r="M389" s="12"/>
      <c r="N389" s="12"/>
      <c r="O389" s="12"/>
      <c r="U389" s="9"/>
      <c r="V389" s="15"/>
      <c r="W389" s="9"/>
      <c r="X389" s="15"/>
    </row>
    <row r="390" spans="1:24" ht="15.75" customHeight="1">
      <c r="A390" s="2"/>
      <c r="B390" s="9"/>
      <c r="G390" s="20"/>
      <c r="M390" s="12"/>
      <c r="N390" s="12"/>
      <c r="O390" s="12"/>
      <c r="U390" s="9"/>
      <c r="V390" s="15"/>
      <c r="W390" s="9"/>
      <c r="X390" s="15"/>
    </row>
    <row r="391" spans="1:24" ht="15.75" customHeight="1">
      <c r="A391" s="2"/>
      <c r="B391" s="9"/>
      <c r="G391" s="20"/>
      <c r="M391" s="12"/>
      <c r="N391" s="12"/>
      <c r="O391" s="12"/>
      <c r="U391" s="9"/>
      <c r="V391" s="15"/>
      <c r="W391" s="9"/>
      <c r="X391" s="15"/>
    </row>
    <row r="392" spans="1:24" ht="15.75" customHeight="1">
      <c r="A392" s="2"/>
      <c r="B392" s="9"/>
      <c r="G392" s="20"/>
      <c r="M392" s="12"/>
      <c r="N392" s="12"/>
      <c r="O392" s="12"/>
      <c r="U392" s="9"/>
      <c r="V392" s="15"/>
      <c r="W392" s="9"/>
      <c r="X392" s="15"/>
    </row>
    <row r="393" spans="1:24" ht="15.75" customHeight="1">
      <c r="A393" s="2"/>
      <c r="B393" s="9"/>
      <c r="G393" s="20"/>
      <c r="M393" s="12"/>
      <c r="N393" s="12"/>
      <c r="O393" s="12"/>
      <c r="U393" s="9"/>
      <c r="V393" s="15"/>
      <c r="W393" s="9"/>
      <c r="X393" s="15"/>
    </row>
    <row r="394" spans="1:24" ht="15.75" customHeight="1">
      <c r="A394" s="2"/>
      <c r="B394" s="9"/>
      <c r="G394" s="20"/>
      <c r="M394" s="12"/>
      <c r="N394" s="12"/>
      <c r="O394" s="12"/>
      <c r="U394" s="9"/>
      <c r="V394" s="15"/>
      <c r="W394" s="9"/>
      <c r="X394" s="15"/>
    </row>
    <row r="395" spans="1:24" ht="15.75" customHeight="1">
      <c r="A395" s="2"/>
      <c r="B395" s="9"/>
      <c r="G395" s="20"/>
      <c r="M395" s="12"/>
      <c r="N395" s="12"/>
      <c r="O395" s="12"/>
      <c r="U395" s="9"/>
      <c r="V395" s="15"/>
      <c r="W395" s="9"/>
      <c r="X395" s="15"/>
    </row>
    <row r="396" spans="1:24" ht="15.75" customHeight="1">
      <c r="A396" s="2"/>
      <c r="B396" s="9"/>
      <c r="G396" s="20"/>
      <c r="M396" s="12"/>
      <c r="N396" s="12"/>
      <c r="O396" s="12"/>
      <c r="U396" s="9"/>
      <c r="V396" s="15"/>
      <c r="W396" s="9"/>
      <c r="X396" s="15"/>
    </row>
    <row r="397" spans="1:24" ht="15.75" customHeight="1">
      <c r="A397" s="2"/>
      <c r="B397" s="9"/>
      <c r="G397" s="20"/>
      <c r="M397" s="12"/>
      <c r="N397" s="12"/>
      <c r="O397" s="12"/>
      <c r="U397" s="9"/>
      <c r="V397" s="15"/>
      <c r="W397" s="9"/>
      <c r="X397" s="15"/>
    </row>
    <row r="398" spans="1:24" ht="15.75" customHeight="1">
      <c r="A398" s="2"/>
      <c r="B398" s="9"/>
      <c r="G398" s="20"/>
      <c r="M398" s="12"/>
      <c r="N398" s="12"/>
      <c r="O398" s="12"/>
      <c r="U398" s="9"/>
      <c r="V398" s="15"/>
      <c r="W398" s="9"/>
      <c r="X398" s="15"/>
    </row>
    <row r="399" spans="1:24" ht="15.75" customHeight="1">
      <c r="A399" s="2"/>
      <c r="B399" s="9"/>
      <c r="G399" s="20"/>
      <c r="M399" s="12"/>
      <c r="N399" s="12"/>
      <c r="O399" s="12"/>
      <c r="U399" s="9"/>
      <c r="V399" s="15"/>
      <c r="W399" s="9"/>
      <c r="X399" s="15"/>
    </row>
    <row r="400" spans="1:24" ht="15.75" customHeight="1">
      <c r="A400" s="2"/>
      <c r="B400" s="9"/>
      <c r="G400" s="20"/>
      <c r="M400" s="12"/>
      <c r="N400" s="12"/>
      <c r="O400" s="12"/>
      <c r="U400" s="9"/>
      <c r="V400" s="15"/>
      <c r="W400" s="9"/>
      <c r="X400" s="15"/>
    </row>
    <row r="401" spans="1:24" ht="15.75" customHeight="1">
      <c r="A401" s="2"/>
      <c r="B401" s="9"/>
      <c r="G401" s="20"/>
      <c r="M401" s="12"/>
      <c r="N401" s="12"/>
      <c r="O401" s="12"/>
      <c r="U401" s="9"/>
      <c r="V401" s="15"/>
      <c r="W401" s="9"/>
      <c r="X401" s="15"/>
    </row>
    <row r="402" spans="1:24" ht="15.75" customHeight="1">
      <c r="A402" s="2"/>
      <c r="B402" s="9"/>
      <c r="G402" s="20"/>
      <c r="M402" s="12"/>
      <c r="N402" s="12"/>
      <c r="O402" s="12"/>
      <c r="U402" s="9"/>
      <c r="V402" s="15"/>
      <c r="W402" s="9"/>
      <c r="X402" s="15"/>
    </row>
    <row r="403" spans="1:24" ht="15.75" customHeight="1">
      <c r="A403" s="2"/>
      <c r="B403" s="9"/>
      <c r="G403" s="20"/>
      <c r="M403" s="12"/>
      <c r="N403" s="12"/>
      <c r="O403" s="12"/>
      <c r="U403" s="9"/>
      <c r="V403" s="15"/>
      <c r="W403" s="9"/>
      <c r="X403" s="15"/>
    </row>
    <row r="404" spans="1:24" ht="15.75" customHeight="1">
      <c r="A404" s="2"/>
      <c r="B404" s="9"/>
      <c r="G404" s="20"/>
      <c r="M404" s="12"/>
      <c r="N404" s="12"/>
      <c r="O404" s="12"/>
      <c r="U404" s="9"/>
      <c r="V404" s="15"/>
      <c r="W404" s="9"/>
      <c r="X404" s="15"/>
    </row>
    <row r="405" spans="1:24" ht="15.75" customHeight="1">
      <c r="A405" s="2"/>
      <c r="B405" s="9"/>
      <c r="G405" s="20"/>
      <c r="M405" s="12"/>
      <c r="N405" s="12"/>
      <c r="O405" s="12"/>
      <c r="U405" s="9"/>
      <c r="V405" s="15"/>
      <c r="W405" s="9"/>
      <c r="X405" s="15"/>
    </row>
    <row r="406" spans="1:24" ht="15.75" customHeight="1">
      <c r="A406" s="2"/>
      <c r="B406" s="9"/>
      <c r="G406" s="20"/>
      <c r="M406" s="12"/>
      <c r="N406" s="12"/>
      <c r="O406" s="12"/>
      <c r="U406" s="9"/>
      <c r="V406" s="15"/>
      <c r="W406" s="9"/>
      <c r="X406" s="15"/>
    </row>
    <row r="407" spans="1:24" ht="15.75" customHeight="1">
      <c r="A407" s="2"/>
      <c r="B407" s="9"/>
      <c r="G407" s="20"/>
      <c r="M407" s="12"/>
      <c r="N407" s="12"/>
      <c r="O407" s="12"/>
      <c r="U407" s="9"/>
      <c r="V407" s="15"/>
      <c r="W407" s="9"/>
      <c r="X407" s="15"/>
    </row>
    <row r="408" spans="1:24" ht="15.75" customHeight="1">
      <c r="A408" s="2"/>
      <c r="B408" s="9"/>
      <c r="G408" s="20"/>
      <c r="M408" s="12"/>
      <c r="N408" s="12"/>
      <c r="O408" s="12"/>
      <c r="U408" s="9"/>
      <c r="V408" s="15"/>
      <c r="W408" s="9"/>
      <c r="X408" s="15"/>
    </row>
    <row r="409" spans="1:24" ht="15.75" customHeight="1">
      <c r="A409" s="2"/>
      <c r="B409" s="9"/>
      <c r="G409" s="20"/>
      <c r="M409" s="12"/>
      <c r="N409" s="12"/>
      <c r="O409" s="12"/>
      <c r="U409" s="9"/>
      <c r="V409" s="15"/>
      <c r="W409" s="9"/>
      <c r="X409" s="15"/>
    </row>
    <row r="410" spans="1:24" ht="15.75" customHeight="1">
      <c r="A410" s="2"/>
      <c r="B410" s="9"/>
      <c r="G410" s="20"/>
      <c r="M410" s="12"/>
      <c r="N410" s="12"/>
      <c r="O410" s="12"/>
      <c r="U410" s="9"/>
      <c r="V410" s="15"/>
      <c r="W410" s="9"/>
      <c r="X410" s="15"/>
    </row>
    <row r="411" spans="1:24" ht="15.75" customHeight="1">
      <c r="A411" s="2"/>
      <c r="B411" s="9"/>
      <c r="G411" s="20"/>
      <c r="M411" s="12"/>
      <c r="N411" s="12"/>
      <c r="O411" s="12"/>
      <c r="U411" s="9"/>
      <c r="V411" s="15"/>
      <c r="W411" s="9"/>
      <c r="X411" s="15"/>
    </row>
    <row r="412" spans="1:24" ht="15.75" customHeight="1">
      <c r="A412" s="2"/>
      <c r="B412" s="9"/>
      <c r="G412" s="20"/>
      <c r="M412" s="12"/>
      <c r="N412" s="12"/>
      <c r="O412" s="12"/>
      <c r="U412" s="9"/>
      <c r="V412" s="15"/>
      <c r="W412" s="9"/>
      <c r="X412" s="15"/>
    </row>
    <row r="413" spans="1:24" ht="15.75" customHeight="1">
      <c r="A413" s="2"/>
      <c r="B413" s="9"/>
      <c r="G413" s="20"/>
      <c r="M413" s="12"/>
      <c r="N413" s="12"/>
      <c r="O413" s="12"/>
      <c r="U413" s="9"/>
      <c r="V413" s="15"/>
      <c r="W413" s="9"/>
      <c r="X413" s="15"/>
    </row>
    <row r="414" spans="1:24" ht="15.75" customHeight="1">
      <c r="A414" s="2"/>
      <c r="B414" s="9"/>
      <c r="G414" s="20"/>
      <c r="M414" s="12"/>
      <c r="N414" s="12"/>
      <c r="O414" s="12"/>
      <c r="U414" s="9"/>
      <c r="V414" s="15"/>
      <c r="W414" s="9"/>
      <c r="X414" s="15"/>
    </row>
    <row r="415" spans="1:24" ht="15.75" customHeight="1">
      <c r="A415" s="2"/>
      <c r="B415" s="9"/>
      <c r="G415" s="20"/>
      <c r="M415" s="12"/>
      <c r="N415" s="12"/>
      <c r="O415" s="12"/>
      <c r="U415" s="9"/>
      <c r="V415" s="15"/>
      <c r="W415" s="9"/>
      <c r="X415" s="15"/>
    </row>
    <row r="416" spans="1:24" ht="15.75" customHeight="1">
      <c r="A416" s="2"/>
      <c r="B416" s="9"/>
      <c r="G416" s="20"/>
      <c r="M416" s="12"/>
      <c r="N416" s="12"/>
      <c r="O416" s="12"/>
      <c r="U416" s="9"/>
      <c r="V416" s="15"/>
      <c r="W416" s="9"/>
      <c r="X416" s="15"/>
    </row>
    <row r="417" spans="1:24" ht="15.75" customHeight="1">
      <c r="A417" s="2"/>
      <c r="B417" s="9"/>
      <c r="G417" s="20"/>
      <c r="M417" s="12"/>
      <c r="N417" s="12"/>
      <c r="O417" s="12"/>
      <c r="U417" s="9"/>
      <c r="V417" s="15"/>
      <c r="W417" s="9"/>
      <c r="X417" s="15"/>
    </row>
    <row r="418" spans="1:24" ht="15.75" customHeight="1">
      <c r="A418" s="2"/>
      <c r="B418" s="9"/>
      <c r="G418" s="20"/>
      <c r="M418" s="12"/>
      <c r="N418" s="12"/>
      <c r="O418" s="12"/>
      <c r="U418" s="9"/>
      <c r="V418" s="15"/>
      <c r="W418" s="9"/>
      <c r="X418" s="15"/>
    </row>
    <row r="419" spans="1:24" ht="15.75" customHeight="1">
      <c r="A419" s="2"/>
      <c r="B419" s="9"/>
      <c r="G419" s="20"/>
      <c r="M419" s="12"/>
      <c r="N419" s="12"/>
      <c r="O419" s="12"/>
      <c r="U419" s="9"/>
      <c r="V419" s="15"/>
      <c r="W419" s="9"/>
      <c r="X419" s="15"/>
    </row>
    <row r="420" spans="1:24" ht="15.75" customHeight="1">
      <c r="A420" s="2"/>
      <c r="B420" s="9"/>
      <c r="G420" s="20"/>
      <c r="M420" s="12"/>
      <c r="N420" s="12"/>
      <c r="O420" s="12"/>
      <c r="U420" s="9"/>
      <c r="V420" s="15"/>
      <c r="W420" s="9"/>
      <c r="X420" s="15"/>
    </row>
    <row r="421" spans="1:24" ht="15.75" customHeight="1">
      <c r="A421" s="2"/>
      <c r="B421" s="9"/>
      <c r="G421" s="20"/>
      <c r="M421" s="12"/>
      <c r="N421" s="12"/>
      <c r="O421" s="12"/>
      <c r="U421" s="9"/>
      <c r="V421" s="15"/>
      <c r="W421" s="9"/>
      <c r="X421" s="15"/>
    </row>
    <row r="422" spans="1:24" ht="15.75" customHeight="1">
      <c r="A422" s="2"/>
      <c r="B422" s="9"/>
      <c r="G422" s="20"/>
      <c r="M422" s="12"/>
      <c r="N422" s="12"/>
      <c r="O422" s="12"/>
      <c r="U422" s="9"/>
      <c r="V422" s="15"/>
      <c r="W422" s="9"/>
      <c r="X422" s="15"/>
    </row>
    <row r="423" spans="1:24" ht="15.75" customHeight="1">
      <c r="A423" s="2"/>
      <c r="B423" s="9"/>
      <c r="G423" s="20"/>
      <c r="M423" s="12"/>
      <c r="N423" s="12"/>
      <c r="O423" s="12"/>
      <c r="U423" s="9"/>
      <c r="V423" s="15"/>
      <c r="W423" s="9"/>
      <c r="X423" s="15"/>
    </row>
    <row r="424" spans="1:24" ht="15.75" customHeight="1">
      <c r="A424" s="2"/>
      <c r="B424" s="9"/>
      <c r="G424" s="20"/>
      <c r="M424" s="12"/>
      <c r="N424" s="12"/>
      <c r="O424" s="12"/>
      <c r="U424" s="9"/>
      <c r="V424" s="15"/>
      <c r="W424" s="9"/>
      <c r="X424" s="15"/>
    </row>
    <row r="425" spans="1:24" ht="15.75" customHeight="1">
      <c r="A425" s="2"/>
      <c r="B425" s="9"/>
      <c r="G425" s="20"/>
      <c r="M425" s="12"/>
      <c r="N425" s="12"/>
      <c r="O425" s="12"/>
      <c r="U425" s="9"/>
      <c r="V425" s="15"/>
      <c r="W425" s="9"/>
      <c r="X425" s="15"/>
    </row>
    <row r="426" spans="1:24" ht="15.75" customHeight="1">
      <c r="A426" s="2"/>
      <c r="B426" s="9"/>
      <c r="G426" s="20"/>
      <c r="M426" s="12"/>
      <c r="N426" s="12"/>
      <c r="O426" s="12"/>
      <c r="U426" s="9"/>
      <c r="V426" s="15"/>
      <c r="W426" s="9"/>
      <c r="X426" s="15"/>
    </row>
    <row r="427" spans="1:24" ht="15.75" customHeight="1">
      <c r="A427" s="2"/>
      <c r="B427" s="9"/>
      <c r="G427" s="20"/>
      <c r="M427" s="12"/>
      <c r="N427" s="12"/>
      <c r="O427" s="12"/>
      <c r="U427" s="9"/>
      <c r="V427" s="15"/>
      <c r="W427" s="9"/>
      <c r="X427" s="15"/>
    </row>
    <row r="428" spans="1:24" ht="15.75" customHeight="1">
      <c r="A428" s="2"/>
      <c r="B428" s="9"/>
      <c r="G428" s="20"/>
      <c r="M428" s="12"/>
      <c r="N428" s="12"/>
      <c r="O428" s="12"/>
      <c r="U428" s="9"/>
      <c r="V428" s="15"/>
      <c r="W428" s="9"/>
      <c r="X428" s="15"/>
    </row>
    <row r="429" spans="1:24" ht="15.75" customHeight="1">
      <c r="A429" s="2"/>
      <c r="B429" s="9"/>
      <c r="G429" s="20"/>
      <c r="M429" s="12"/>
      <c r="N429" s="12"/>
      <c r="O429" s="12"/>
      <c r="U429" s="9"/>
      <c r="V429" s="15"/>
      <c r="W429" s="9"/>
      <c r="X429" s="15"/>
    </row>
    <row r="430" spans="1:24" ht="15.75" customHeight="1">
      <c r="A430" s="2"/>
      <c r="B430" s="9"/>
      <c r="G430" s="20"/>
      <c r="M430" s="12"/>
      <c r="N430" s="12"/>
      <c r="O430" s="12"/>
      <c r="U430" s="9"/>
      <c r="V430" s="15"/>
      <c r="W430" s="9"/>
      <c r="X430" s="15"/>
    </row>
    <row r="431" spans="1:24" ht="15.75" customHeight="1">
      <c r="A431" s="2"/>
      <c r="B431" s="9"/>
      <c r="G431" s="20"/>
      <c r="M431" s="12"/>
      <c r="N431" s="12"/>
      <c r="O431" s="12"/>
      <c r="U431" s="9"/>
      <c r="V431" s="15"/>
      <c r="W431" s="9"/>
      <c r="X431" s="15"/>
    </row>
    <row r="432" spans="1:24" ht="15.75" customHeight="1">
      <c r="A432" s="2"/>
      <c r="B432" s="9"/>
      <c r="G432" s="20"/>
      <c r="M432" s="12"/>
      <c r="N432" s="12"/>
      <c r="O432" s="12"/>
      <c r="U432" s="9"/>
      <c r="V432" s="15"/>
      <c r="W432" s="9"/>
      <c r="X432" s="15"/>
    </row>
    <row r="433" spans="1:24" ht="15.75" customHeight="1">
      <c r="A433" s="2"/>
      <c r="B433" s="9"/>
      <c r="G433" s="20"/>
      <c r="M433" s="12"/>
      <c r="N433" s="12"/>
      <c r="O433" s="12"/>
      <c r="U433" s="9"/>
      <c r="V433" s="15"/>
      <c r="W433" s="9"/>
      <c r="X433" s="15"/>
    </row>
    <row r="434" spans="1:24" ht="15.75" customHeight="1">
      <c r="A434" s="2"/>
      <c r="B434" s="9"/>
      <c r="G434" s="20"/>
      <c r="M434" s="12"/>
      <c r="N434" s="12"/>
      <c r="O434" s="12"/>
      <c r="U434" s="9"/>
      <c r="V434" s="15"/>
      <c r="W434" s="9"/>
      <c r="X434" s="15"/>
    </row>
    <row r="435" spans="1:24" ht="15.75" customHeight="1">
      <c r="A435" s="2"/>
      <c r="B435" s="9"/>
      <c r="G435" s="20"/>
      <c r="M435" s="12"/>
      <c r="N435" s="12"/>
      <c r="O435" s="12"/>
      <c r="U435" s="9"/>
      <c r="V435" s="15"/>
      <c r="W435" s="9"/>
      <c r="X435" s="15"/>
    </row>
    <row r="436" spans="1:24" ht="15.75" customHeight="1">
      <c r="A436" s="2"/>
      <c r="B436" s="9"/>
      <c r="G436" s="20"/>
      <c r="M436" s="12"/>
      <c r="N436" s="12"/>
      <c r="O436" s="12"/>
      <c r="U436" s="9"/>
      <c r="V436" s="15"/>
      <c r="W436" s="9"/>
      <c r="X436" s="15"/>
    </row>
    <row r="437" spans="1:24" ht="15.75" customHeight="1">
      <c r="A437" s="2"/>
      <c r="B437" s="9"/>
      <c r="G437" s="20"/>
      <c r="M437" s="12"/>
      <c r="N437" s="12"/>
      <c r="O437" s="12"/>
      <c r="U437" s="9"/>
      <c r="V437" s="15"/>
      <c r="W437" s="9"/>
      <c r="X437" s="15"/>
    </row>
    <row r="438" spans="1:24" ht="15.75" customHeight="1">
      <c r="A438" s="2"/>
      <c r="B438" s="9"/>
      <c r="G438" s="20"/>
      <c r="M438" s="12"/>
      <c r="N438" s="12"/>
      <c r="O438" s="12"/>
      <c r="U438" s="9"/>
      <c r="V438" s="15"/>
      <c r="W438" s="9"/>
      <c r="X438" s="15"/>
    </row>
    <row r="439" spans="1:24" ht="15.75" customHeight="1">
      <c r="A439" s="2"/>
      <c r="B439" s="9"/>
      <c r="G439" s="20"/>
      <c r="M439" s="12"/>
      <c r="N439" s="12"/>
      <c r="O439" s="12"/>
      <c r="U439" s="9"/>
      <c r="V439" s="15"/>
      <c r="W439" s="9"/>
      <c r="X439" s="15"/>
    </row>
    <row r="440" spans="1:24" ht="15.75" customHeight="1">
      <c r="A440" s="2"/>
      <c r="B440" s="9"/>
      <c r="G440" s="20"/>
      <c r="M440" s="12"/>
      <c r="N440" s="12"/>
      <c r="O440" s="12"/>
      <c r="U440" s="9"/>
      <c r="V440" s="15"/>
      <c r="W440" s="9"/>
      <c r="X440" s="15"/>
    </row>
    <row r="441" spans="1:24" ht="15.75" customHeight="1">
      <c r="A441" s="2"/>
      <c r="B441" s="9"/>
      <c r="G441" s="20"/>
      <c r="M441" s="12"/>
      <c r="N441" s="12"/>
      <c r="O441" s="12"/>
      <c r="U441" s="9"/>
      <c r="V441" s="15"/>
      <c r="W441" s="9"/>
      <c r="X441" s="15"/>
    </row>
    <row r="442" spans="1:24" ht="15.75" customHeight="1">
      <c r="A442" s="2"/>
      <c r="B442" s="9"/>
      <c r="G442" s="20"/>
      <c r="M442" s="12"/>
      <c r="N442" s="12"/>
      <c r="O442" s="12"/>
      <c r="U442" s="9"/>
      <c r="V442" s="15"/>
      <c r="W442" s="9"/>
      <c r="X442" s="15"/>
    </row>
    <row r="443" spans="1:24" ht="15.75" customHeight="1">
      <c r="A443" s="2"/>
      <c r="B443" s="9"/>
      <c r="G443" s="20"/>
      <c r="M443" s="12"/>
      <c r="N443" s="12"/>
      <c r="O443" s="12"/>
      <c r="U443" s="9"/>
      <c r="V443" s="15"/>
      <c r="W443" s="9"/>
      <c r="X443" s="15"/>
    </row>
    <row r="444" spans="1:24" ht="15.75" customHeight="1">
      <c r="A444" s="2"/>
      <c r="B444" s="9"/>
      <c r="G444" s="20"/>
      <c r="M444" s="12"/>
      <c r="N444" s="12"/>
      <c r="O444" s="12"/>
      <c r="U444" s="9"/>
      <c r="V444" s="15"/>
      <c r="W444" s="9"/>
      <c r="X444" s="15"/>
    </row>
    <row r="445" spans="1:24" ht="15.75" customHeight="1">
      <c r="A445" s="2"/>
      <c r="B445" s="9"/>
      <c r="G445" s="20"/>
      <c r="M445" s="12"/>
      <c r="N445" s="12"/>
      <c r="O445" s="12"/>
      <c r="U445" s="9"/>
      <c r="V445" s="15"/>
      <c r="W445" s="9"/>
      <c r="X445" s="15"/>
    </row>
    <row r="446" spans="1:24" ht="15.75" customHeight="1">
      <c r="A446" s="2"/>
      <c r="B446" s="9"/>
      <c r="G446" s="20"/>
      <c r="M446" s="12"/>
      <c r="N446" s="12"/>
      <c r="O446" s="12"/>
      <c r="U446" s="9"/>
      <c r="V446" s="15"/>
      <c r="W446" s="9"/>
      <c r="X446" s="15"/>
    </row>
    <row r="447" spans="1:24" ht="15.75" customHeight="1">
      <c r="A447" s="2"/>
      <c r="B447" s="9"/>
      <c r="G447" s="20"/>
      <c r="M447" s="12"/>
      <c r="N447" s="12"/>
      <c r="O447" s="12"/>
      <c r="U447" s="9"/>
      <c r="V447" s="15"/>
      <c r="W447" s="9"/>
      <c r="X447" s="15"/>
    </row>
    <row r="448" spans="1:24" ht="15.75" customHeight="1">
      <c r="A448" s="2"/>
      <c r="B448" s="9"/>
      <c r="G448" s="20"/>
      <c r="M448" s="12"/>
      <c r="N448" s="12"/>
      <c r="O448" s="12"/>
      <c r="U448" s="9"/>
      <c r="V448" s="15"/>
      <c r="W448" s="9"/>
      <c r="X448" s="15"/>
    </row>
    <row r="449" spans="1:24" ht="15.75" customHeight="1">
      <c r="A449" s="2"/>
      <c r="B449" s="9"/>
      <c r="G449" s="20"/>
      <c r="M449" s="12"/>
      <c r="N449" s="12"/>
      <c r="O449" s="12"/>
      <c r="U449" s="9"/>
      <c r="V449" s="15"/>
      <c r="W449" s="9"/>
      <c r="X449" s="15"/>
    </row>
    <row r="450" spans="1:24" ht="15.75" customHeight="1">
      <c r="A450" s="2"/>
      <c r="B450" s="9"/>
      <c r="G450" s="20"/>
      <c r="M450" s="12"/>
      <c r="N450" s="12"/>
      <c r="O450" s="12"/>
      <c r="U450" s="9"/>
      <c r="V450" s="15"/>
      <c r="W450" s="9"/>
      <c r="X450" s="15"/>
    </row>
    <row r="451" spans="1:24" ht="15.75" customHeight="1">
      <c r="A451" s="2"/>
      <c r="B451" s="9"/>
      <c r="G451" s="20"/>
      <c r="M451" s="12"/>
      <c r="N451" s="12"/>
      <c r="O451" s="12"/>
      <c r="U451" s="9"/>
      <c r="V451" s="15"/>
      <c r="W451" s="9"/>
      <c r="X451" s="15"/>
    </row>
    <row r="452" spans="1:24" ht="15.75" customHeight="1">
      <c r="A452" s="2"/>
      <c r="B452" s="9"/>
      <c r="G452" s="20"/>
      <c r="M452" s="12"/>
      <c r="N452" s="12"/>
      <c r="O452" s="12"/>
      <c r="U452" s="9"/>
      <c r="V452" s="15"/>
      <c r="W452" s="9"/>
      <c r="X452" s="15"/>
    </row>
    <row r="453" spans="1:24" ht="15.75" customHeight="1">
      <c r="A453" s="2"/>
      <c r="B453" s="9"/>
      <c r="G453" s="20"/>
      <c r="M453" s="12"/>
      <c r="N453" s="12"/>
      <c r="O453" s="12"/>
      <c r="U453" s="9"/>
      <c r="V453" s="15"/>
      <c r="W453" s="9"/>
      <c r="X453" s="15"/>
    </row>
    <row r="454" spans="1:24" ht="15.75" customHeight="1">
      <c r="A454" s="2"/>
      <c r="B454" s="9"/>
      <c r="G454" s="20"/>
      <c r="M454" s="12"/>
      <c r="N454" s="12"/>
      <c r="O454" s="12"/>
      <c r="U454" s="9"/>
      <c r="V454" s="15"/>
      <c r="W454" s="9"/>
      <c r="X454" s="15"/>
    </row>
    <row r="455" spans="1:24" ht="15.75" customHeight="1">
      <c r="A455" s="2"/>
      <c r="B455" s="9"/>
      <c r="G455" s="20"/>
      <c r="M455" s="12"/>
      <c r="N455" s="12"/>
      <c r="O455" s="12"/>
      <c r="U455" s="9"/>
      <c r="V455" s="15"/>
      <c r="W455" s="9"/>
      <c r="X455" s="15"/>
    </row>
    <row r="456" spans="1:24" ht="15.75" customHeight="1">
      <c r="A456" s="2"/>
      <c r="B456" s="9"/>
      <c r="G456" s="20"/>
      <c r="M456" s="12"/>
      <c r="N456" s="12"/>
      <c r="O456" s="12"/>
      <c r="U456" s="9"/>
      <c r="V456" s="15"/>
      <c r="W456" s="9"/>
      <c r="X456" s="15"/>
    </row>
    <row r="457" spans="1:24" ht="15.75" customHeight="1">
      <c r="A457" s="2"/>
      <c r="B457" s="9"/>
      <c r="G457" s="20"/>
      <c r="M457" s="12"/>
      <c r="N457" s="12"/>
      <c r="O457" s="12"/>
      <c r="U457" s="9"/>
      <c r="V457" s="15"/>
      <c r="W457" s="9"/>
      <c r="X457" s="15"/>
    </row>
    <row r="458" spans="1:24" ht="15.75" customHeight="1">
      <c r="A458" s="2"/>
      <c r="B458" s="9"/>
      <c r="G458" s="20"/>
      <c r="M458" s="12"/>
      <c r="N458" s="12"/>
      <c r="O458" s="12"/>
      <c r="U458" s="9"/>
      <c r="V458" s="15"/>
      <c r="W458" s="9"/>
      <c r="X458" s="15"/>
    </row>
    <row r="459" spans="1:24" ht="15.75" customHeight="1">
      <c r="A459" s="2"/>
      <c r="B459" s="9"/>
      <c r="G459" s="20"/>
      <c r="M459" s="12"/>
      <c r="N459" s="12"/>
      <c r="O459" s="12"/>
      <c r="U459" s="9"/>
      <c r="V459" s="15"/>
      <c r="W459" s="9"/>
      <c r="X459" s="15"/>
    </row>
    <row r="460" spans="1:24" ht="15.75" customHeight="1">
      <c r="A460" s="2"/>
      <c r="B460" s="9"/>
      <c r="G460" s="20"/>
      <c r="M460" s="12"/>
      <c r="N460" s="12"/>
      <c r="O460" s="12"/>
      <c r="U460" s="9"/>
      <c r="V460" s="15"/>
      <c r="W460" s="9"/>
      <c r="X460" s="15"/>
    </row>
    <row r="461" spans="1:24" ht="15.75" customHeight="1">
      <c r="A461" s="2"/>
      <c r="B461" s="9"/>
      <c r="G461" s="20"/>
      <c r="M461" s="12"/>
      <c r="N461" s="12"/>
      <c r="O461" s="12"/>
      <c r="U461" s="9"/>
      <c r="V461" s="15"/>
      <c r="W461" s="9"/>
      <c r="X461" s="15"/>
    </row>
    <row r="462" spans="1:24" ht="15.75" customHeight="1">
      <c r="A462" s="2"/>
      <c r="B462" s="9"/>
      <c r="G462" s="20"/>
      <c r="M462" s="12"/>
      <c r="N462" s="12"/>
      <c r="O462" s="12"/>
      <c r="U462" s="9"/>
      <c r="V462" s="15"/>
      <c r="W462" s="9"/>
      <c r="X462" s="15"/>
    </row>
    <row r="463" spans="1:24" ht="15.75" customHeight="1">
      <c r="A463" s="2"/>
      <c r="B463" s="9"/>
      <c r="G463" s="20"/>
      <c r="M463" s="12"/>
      <c r="N463" s="12"/>
      <c r="O463" s="12"/>
      <c r="U463" s="9"/>
      <c r="V463" s="15"/>
      <c r="W463" s="9"/>
      <c r="X463" s="15"/>
    </row>
    <row r="464" spans="1:24" ht="15.75" customHeight="1">
      <c r="A464" s="2"/>
      <c r="B464" s="9"/>
      <c r="G464" s="20"/>
      <c r="M464" s="12"/>
      <c r="N464" s="12"/>
      <c r="O464" s="12"/>
      <c r="U464" s="9"/>
      <c r="V464" s="15"/>
      <c r="W464" s="9"/>
      <c r="X464" s="15"/>
    </row>
    <row r="465" spans="1:24" ht="15.75" customHeight="1">
      <c r="A465" s="2"/>
      <c r="B465" s="9"/>
      <c r="G465" s="20"/>
      <c r="M465" s="12"/>
      <c r="N465" s="12"/>
      <c r="O465" s="12"/>
      <c r="U465" s="9"/>
      <c r="V465" s="15"/>
      <c r="W465" s="9"/>
      <c r="X465" s="15"/>
    </row>
    <row r="466" spans="1:24" ht="15.75" customHeight="1">
      <c r="A466" s="2"/>
      <c r="B466" s="9"/>
      <c r="G466" s="20"/>
      <c r="M466" s="12"/>
      <c r="N466" s="12"/>
      <c r="O466" s="12"/>
      <c r="U466" s="9"/>
      <c r="V466" s="15"/>
      <c r="W466" s="9"/>
      <c r="X466" s="15"/>
    </row>
    <row r="467" spans="1:24" ht="15.75" customHeight="1">
      <c r="A467" s="2"/>
      <c r="B467" s="9"/>
      <c r="G467" s="20"/>
      <c r="M467" s="12"/>
      <c r="N467" s="12"/>
      <c r="O467" s="12"/>
      <c r="U467" s="9"/>
      <c r="V467" s="15"/>
      <c r="W467" s="9"/>
      <c r="X467" s="15"/>
    </row>
    <row r="468" spans="1:24" ht="15.75" customHeight="1">
      <c r="A468" s="2"/>
      <c r="B468" s="9"/>
      <c r="G468" s="20"/>
      <c r="M468" s="12"/>
      <c r="N468" s="12"/>
      <c r="O468" s="12"/>
      <c r="U468" s="9"/>
      <c r="V468" s="15"/>
      <c r="W468" s="9"/>
      <c r="X468" s="15"/>
    </row>
    <row r="469" spans="1:24" ht="15.75" customHeight="1">
      <c r="A469" s="2"/>
      <c r="B469" s="9"/>
      <c r="G469" s="20"/>
      <c r="M469" s="12"/>
      <c r="N469" s="12"/>
      <c r="O469" s="12"/>
      <c r="U469" s="9"/>
      <c r="V469" s="15"/>
      <c r="W469" s="9"/>
      <c r="X469" s="15"/>
    </row>
    <row r="470" spans="1:24" ht="15.75" customHeight="1">
      <c r="A470" s="2"/>
      <c r="B470" s="9"/>
      <c r="G470" s="20"/>
      <c r="M470" s="12"/>
      <c r="N470" s="12"/>
      <c r="O470" s="12"/>
      <c r="U470" s="9"/>
      <c r="V470" s="15"/>
      <c r="W470" s="9"/>
      <c r="X470" s="15"/>
    </row>
    <row r="471" spans="1:24" ht="15.75" customHeight="1">
      <c r="A471" s="2"/>
      <c r="B471" s="9"/>
      <c r="G471" s="20"/>
      <c r="M471" s="12"/>
      <c r="N471" s="12"/>
      <c r="O471" s="12"/>
      <c r="U471" s="9"/>
      <c r="V471" s="15"/>
      <c r="W471" s="9"/>
      <c r="X471" s="15"/>
    </row>
    <row r="472" spans="1:24" ht="15.75" customHeight="1">
      <c r="A472" s="2"/>
      <c r="B472" s="9"/>
      <c r="G472" s="20"/>
      <c r="M472" s="12"/>
      <c r="N472" s="12"/>
      <c r="O472" s="12"/>
      <c r="U472" s="9"/>
      <c r="V472" s="15"/>
      <c r="W472" s="9"/>
      <c r="X472" s="15"/>
    </row>
    <row r="473" spans="1:24" ht="15.75" customHeight="1">
      <c r="A473" s="2"/>
      <c r="B473" s="9"/>
      <c r="G473" s="20"/>
      <c r="M473" s="12"/>
      <c r="N473" s="12"/>
      <c r="O473" s="12"/>
      <c r="U473" s="9"/>
      <c r="V473" s="15"/>
      <c r="W473" s="9"/>
      <c r="X473" s="15"/>
    </row>
    <row r="474" spans="1:24" ht="15.75" customHeight="1">
      <c r="A474" s="2"/>
      <c r="B474" s="9"/>
      <c r="G474" s="20"/>
      <c r="M474" s="12"/>
      <c r="N474" s="12"/>
      <c r="O474" s="12"/>
      <c r="U474" s="9"/>
      <c r="V474" s="15"/>
      <c r="W474" s="9"/>
      <c r="X474" s="15"/>
    </row>
    <row r="475" spans="1:24" ht="15.75" customHeight="1">
      <c r="A475" s="2"/>
      <c r="B475" s="9"/>
      <c r="G475" s="20"/>
      <c r="M475" s="12"/>
      <c r="N475" s="12"/>
      <c r="O475" s="12"/>
      <c r="U475" s="9"/>
      <c r="V475" s="15"/>
      <c r="W475" s="9"/>
      <c r="X475" s="15"/>
    </row>
    <row r="476" spans="1:24" ht="15.75" customHeight="1">
      <c r="A476" s="2"/>
      <c r="B476" s="9"/>
      <c r="G476" s="20"/>
      <c r="M476" s="12"/>
      <c r="N476" s="12"/>
      <c r="O476" s="12"/>
      <c r="U476" s="9"/>
      <c r="V476" s="15"/>
      <c r="W476" s="9"/>
      <c r="X476" s="15"/>
    </row>
    <row r="477" spans="1:24" ht="15.75" customHeight="1">
      <c r="A477" s="2"/>
      <c r="B477" s="9"/>
      <c r="G477" s="20"/>
      <c r="M477" s="12"/>
      <c r="N477" s="12"/>
      <c r="O477" s="12"/>
      <c r="U477" s="9"/>
      <c r="V477" s="15"/>
      <c r="W477" s="9"/>
      <c r="X477" s="15"/>
    </row>
    <row r="478" spans="1:24" ht="15.75" customHeight="1">
      <c r="A478" s="2"/>
      <c r="B478" s="9"/>
      <c r="G478" s="20"/>
      <c r="M478" s="12"/>
      <c r="N478" s="12"/>
      <c r="O478" s="12"/>
      <c r="U478" s="9"/>
      <c r="V478" s="15"/>
      <c r="W478" s="9"/>
      <c r="X478" s="15"/>
    </row>
    <row r="479" spans="1:24" ht="15.75" customHeight="1">
      <c r="A479" s="2"/>
      <c r="B479" s="9"/>
      <c r="G479" s="20"/>
      <c r="M479" s="12"/>
      <c r="N479" s="12"/>
      <c r="O479" s="12"/>
      <c r="U479" s="9"/>
      <c r="V479" s="15"/>
      <c r="W479" s="9"/>
      <c r="X479" s="15"/>
    </row>
    <row r="480" spans="1:24" ht="15.75" customHeight="1">
      <c r="A480" s="2"/>
      <c r="B480" s="9"/>
      <c r="G480" s="20"/>
      <c r="M480" s="12"/>
      <c r="N480" s="12"/>
      <c r="O480" s="12"/>
      <c r="U480" s="9"/>
      <c r="V480" s="15"/>
      <c r="W480" s="9"/>
      <c r="X480" s="15"/>
    </row>
    <row r="481" spans="1:24" ht="15.75" customHeight="1">
      <c r="A481" s="2"/>
      <c r="B481" s="9"/>
      <c r="G481" s="20"/>
      <c r="M481" s="12"/>
      <c r="N481" s="12"/>
      <c r="O481" s="12"/>
      <c r="U481" s="9"/>
      <c r="V481" s="15"/>
      <c r="W481" s="9"/>
      <c r="X481" s="15"/>
    </row>
    <row r="482" spans="1:24" ht="15.75" customHeight="1">
      <c r="A482" s="2"/>
      <c r="B482" s="9"/>
      <c r="G482" s="20"/>
      <c r="M482" s="12"/>
      <c r="N482" s="12"/>
      <c r="O482" s="12"/>
      <c r="U482" s="9"/>
      <c r="V482" s="15"/>
      <c r="W482" s="9"/>
      <c r="X482" s="15"/>
    </row>
    <row r="483" spans="1:24" ht="15.75" customHeight="1">
      <c r="A483" s="2"/>
      <c r="B483" s="9"/>
      <c r="G483" s="20"/>
      <c r="M483" s="12"/>
      <c r="N483" s="12"/>
      <c r="O483" s="12"/>
      <c r="U483" s="9"/>
      <c r="V483" s="15"/>
      <c r="W483" s="9"/>
      <c r="X483" s="15"/>
    </row>
    <row r="484" spans="1:24" ht="15.75" customHeight="1">
      <c r="A484" s="2"/>
      <c r="B484" s="9"/>
      <c r="G484" s="20"/>
      <c r="M484" s="12"/>
      <c r="N484" s="12"/>
      <c r="O484" s="12"/>
      <c r="U484" s="9"/>
      <c r="V484" s="15"/>
      <c r="W484" s="9"/>
      <c r="X484" s="15"/>
    </row>
    <row r="485" spans="1:24" ht="15.75" customHeight="1">
      <c r="A485" s="2"/>
      <c r="B485" s="9"/>
      <c r="G485" s="20"/>
      <c r="M485" s="12"/>
      <c r="N485" s="12"/>
      <c r="O485" s="12"/>
      <c r="U485" s="9"/>
      <c r="V485" s="15"/>
      <c r="W485" s="9"/>
      <c r="X485" s="15"/>
    </row>
    <row r="486" spans="1:24" ht="15.75" customHeight="1">
      <c r="A486" s="2"/>
      <c r="B486" s="9"/>
      <c r="G486" s="20"/>
      <c r="M486" s="12"/>
      <c r="N486" s="12"/>
      <c r="O486" s="12"/>
      <c r="U486" s="9"/>
      <c r="V486" s="15"/>
      <c r="W486" s="9"/>
      <c r="X486" s="15"/>
    </row>
    <row r="487" spans="1:24" ht="15.75" customHeight="1">
      <c r="A487" s="2"/>
      <c r="B487" s="9"/>
      <c r="G487" s="20"/>
      <c r="M487" s="12"/>
      <c r="N487" s="12"/>
      <c r="O487" s="12"/>
      <c r="U487" s="9"/>
      <c r="V487" s="15"/>
      <c r="W487" s="9"/>
      <c r="X487" s="15"/>
    </row>
    <row r="488" spans="1:24" ht="15.75" customHeight="1">
      <c r="A488" s="2"/>
      <c r="B488" s="9"/>
      <c r="G488" s="20"/>
      <c r="M488" s="12"/>
      <c r="N488" s="12"/>
      <c r="O488" s="12"/>
      <c r="U488" s="9"/>
      <c r="V488" s="15"/>
      <c r="W488" s="9"/>
      <c r="X488" s="15"/>
    </row>
    <row r="489" spans="1:24" ht="15.75" customHeight="1">
      <c r="A489" s="2"/>
      <c r="B489" s="9"/>
      <c r="G489" s="20"/>
      <c r="M489" s="12"/>
      <c r="N489" s="12"/>
      <c r="O489" s="12"/>
      <c r="U489" s="9"/>
      <c r="V489" s="15"/>
      <c r="W489" s="9"/>
      <c r="X489" s="15"/>
    </row>
    <row r="490" spans="1:24" ht="15.75" customHeight="1">
      <c r="A490" s="2"/>
      <c r="B490" s="9"/>
      <c r="G490" s="20"/>
      <c r="M490" s="12"/>
      <c r="N490" s="12"/>
      <c r="O490" s="12"/>
      <c r="U490" s="9"/>
      <c r="V490" s="15"/>
      <c r="W490" s="9"/>
      <c r="X490" s="15"/>
    </row>
    <row r="491" spans="1:24" ht="15.75" customHeight="1">
      <c r="A491" s="2"/>
      <c r="B491" s="9"/>
      <c r="G491" s="20"/>
      <c r="M491" s="12"/>
      <c r="N491" s="12"/>
      <c r="O491" s="12"/>
      <c r="U491" s="9"/>
      <c r="V491" s="15"/>
      <c r="W491" s="9"/>
      <c r="X491" s="15"/>
    </row>
    <row r="492" spans="1:24" ht="15.75" customHeight="1">
      <c r="A492" s="2"/>
      <c r="B492" s="9"/>
      <c r="G492" s="20"/>
      <c r="M492" s="12"/>
      <c r="N492" s="12"/>
      <c r="O492" s="12"/>
      <c r="U492" s="9"/>
      <c r="V492" s="15"/>
      <c r="W492" s="9"/>
      <c r="X492" s="15"/>
    </row>
    <row r="493" spans="1:24" ht="15.75" customHeight="1">
      <c r="A493" s="2"/>
      <c r="B493" s="9"/>
      <c r="G493" s="20"/>
      <c r="M493" s="12"/>
      <c r="N493" s="12"/>
      <c r="O493" s="12"/>
      <c r="U493" s="9"/>
      <c r="V493" s="15"/>
      <c r="W493" s="9"/>
      <c r="X493" s="15"/>
    </row>
    <row r="494" spans="1:24" ht="15.75" customHeight="1">
      <c r="A494" s="2"/>
      <c r="B494" s="9"/>
      <c r="G494" s="20"/>
      <c r="M494" s="12"/>
      <c r="N494" s="12"/>
      <c r="O494" s="12"/>
      <c r="U494" s="9"/>
      <c r="V494" s="15"/>
      <c r="W494" s="9"/>
      <c r="X494" s="15"/>
    </row>
    <row r="495" spans="1:24" ht="15.75" customHeight="1">
      <c r="A495" s="2"/>
      <c r="B495" s="9"/>
      <c r="G495" s="20"/>
      <c r="M495" s="12"/>
      <c r="N495" s="12"/>
      <c r="O495" s="12"/>
      <c r="U495" s="9"/>
      <c r="V495" s="15"/>
      <c r="W495" s="9"/>
      <c r="X495" s="15"/>
    </row>
    <row r="496" spans="1:24" ht="15.75" customHeight="1">
      <c r="A496" s="2"/>
      <c r="B496" s="9"/>
      <c r="G496" s="20"/>
      <c r="M496" s="12"/>
      <c r="N496" s="12"/>
      <c r="O496" s="12"/>
      <c r="U496" s="9"/>
      <c r="V496" s="15"/>
      <c r="W496" s="9"/>
      <c r="X496" s="15"/>
    </row>
    <row r="497" spans="1:24" ht="15.75" customHeight="1">
      <c r="A497" s="2"/>
      <c r="B497" s="9"/>
      <c r="G497" s="20"/>
      <c r="M497" s="12"/>
      <c r="N497" s="12"/>
      <c r="O497" s="12"/>
      <c r="U497" s="9"/>
      <c r="V497" s="15"/>
      <c r="W497" s="9"/>
      <c r="X497" s="15"/>
    </row>
    <row r="498" spans="1:24" ht="15.75" customHeight="1">
      <c r="A498" s="2"/>
      <c r="B498" s="9"/>
      <c r="G498" s="20"/>
      <c r="M498" s="12"/>
      <c r="N498" s="12"/>
      <c r="O498" s="12"/>
      <c r="U498" s="9"/>
      <c r="V498" s="15"/>
      <c r="W498" s="9"/>
      <c r="X498" s="15"/>
    </row>
    <row r="499" spans="1:24" ht="15.75" customHeight="1">
      <c r="A499" s="2"/>
      <c r="B499" s="9"/>
      <c r="G499" s="20"/>
      <c r="M499" s="12"/>
      <c r="N499" s="12"/>
      <c r="O499" s="12"/>
      <c r="U499" s="9"/>
      <c r="V499" s="15"/>
      <c r="W499" s="9"/>
      <c r="X499" s="15"/>
    </row>
    <row r="500" spans="1:24" ht="15.75" customHeight="1">
      <c r="A500" s="2"/>
      <c r="B500" s="9"/>
      <c r="G500" s="20"/>
      <c r="M500" s="12"/>
      <c r="N500" s="12"/>
      <c r="O500" s="12"/>
      <c r="U500" s="9"/>
      <c r="V500" s="15"/>
      <c r="W500" s="9"/>
      <c r="X500" s="15"/>
    </row>
    <row r="501" spans="1:24" ht="15.75" customHeight="1">
      <c r="A501" s="2"/>
      <c r="B501" s="9"/>
      <c r="G501" s="20"/>
      <c r="M501" s="12"/>
      <c r="N501" s="12"/>
      <c r="O501" s="12"/>
      <c r="U501" s="9"/>
      <c r="V501" s="15"/>
      <c r="W501" s="9"/>
      <c r="X501" s="15"/>
    </row>
    <row r="502" spans="1:24" ht="15.75" customHeight="1">
      <c r="A502" s="2"/>
      <c r="B502" s="9"/>
      <c r="G502" s="20"/>
      <c r="M502" s="12"/>
      <c r="N502" s="12"/>
      <c r="O502" s="12"/>
      <c r="U502" s="9"/>
      <c r="V502" s="15"/>
      <c r="W502" s="9"/>
      <c r="X502" s="15"/>
    </row>
    <row r="503" spans="1:24" ht="15.75" customHeight="1">
      <c r="A503" s="2"/>
      <c r="B503" s="9"/>
      <c r="G503" s="20"/>
      <c r="M503" s="12"/>
      <c r="N503" s="12"/>
      <c r="O503" s="12"/>
      <c r="U503" s="9"/>
      <c r="V503" s="15"/>
      <c r="W503" s="9"/>
      <c r="X503" s="15"/>
    </row>
    <row r="504" spans="1:24" ht="15.75" customHeight="1">
      <c r="A504" s="2"/>
      <c r="B504" s="9"/>
      <c r="G504" s="20"/>
      <c r="M504" s="12"/>
      <c r="N504" s="12"/>
      <c r="O504" s="12"/>
      <c r="U504" s="9"/>
      <c r="V504" s="15"/>
      <c r="W504" s="9"/>
      <c r="X504" s="15"/>
    </row>
    <row r="505" spans="1:24" ht="15.75" customHeight="1">
      <c r="A505" s="2"/>
      <c r="B505" s="9"/>
      <c r="G505" s="20"/>
      <c r="M505" s="12"/>
      <c r="N505" s="12"/>
      <c r="O505" s="12"/>
      <c r="U505" s="9"/>
      <c r="V505" s="15"/>
      <c r="W505" s="9"/>
      <c r="X505" s="15"/>
    </row>
    <row r="506" spans="1:24" ht="15.75" customHeight="1">
      <c r="A506" s="2"/>
      <c r="B506" s="9"/>
      <c r="G506" s="20"/>
      <c r="M506" s="12"/>
      <c r="N506" s="12"/>
      <c r="O506" s="12"/>
      <c r="U506" s="9"/>
      <c r="V506" s="15"/>
      <c r="W506" s="9"/>
      <c r="X506" s="15"/>
    </row>
    <row r="507" spans="1:24" ht="15.75" customHeight="1">
      <c r="A507" s="2"/>
      <c r="B507" s="9"/>
      <c r="G507" s="20"/>
      <c r="M507" s="12"/>
      <c r="N507" s="12"/>
      <c r="O507" s="12"/>
      <c r="U507" s="9"/>
      <c r="V507" s="15"/>
      <c r="W507" s="9"/>
      <c r="X507" s="15"/>
    </row>
    <row r="508" spans="1:24" ht="15.75" customHeight="1">
      <c r="A508" s="2"/>
      <c r="B508" s="9"/>
      <c r="G508" s="20"/>
      <c r="M508" s="12"/>
      <c r="N508" s="12"/>
      <c r="O508" s="12"/>
      <c r="U508" s="9"/>
      <c r="V508" s="15"/>
      <c r="W508" s="9"/>
      <c r="X508" s="15"/>
    </row>
    <row r="509" spans="1:24" ht="15.75" customHeight="1">
      <c r="A509" s="2"/>
      <c r="B509" s="9"/>
      <c r="G509" s="20"/>
      <c r="M509" s="12"/>
      <c r="N509" s="12"/>
      <c r="O509" s="12"/>
      <c r="U509" s="9"/>
      <c r="V509" s="15"/>
      <c r="W509" s="9"/>
      <c r="X509" s="15"/>
    </row>
    <row r="510" spans="1:24" ht="15.75" customHeight="1">
      <c r="A510" s="2"/>
      <c r="B510" s="9"/>
      <c r="G510" s="20"/>
      <c r="M510" s="12"/>
      <c r="N510" s="12"/>
      <c r="O510" s="12"/>
      <c r="U510" s="9"/>
      <c r="V510" s="15"/>
      <c r="W510" s="9"/>
      <c r="X510" s="15"/>
    </row>
    <row r="511" spans="1:24" ht="15.75" customHeight="1">
      <c r="A511" s="2"/>
      <c r="B511" s="9"/>
      <c r="G511" s="20"/>
      <c r="M511" s="12"/>
      <c r="N511" s="12"/>
      <c r="O511" s="12"/>
      <c r="U511" s="9"/>
      <c r="V511" s="15"/>
      <c r="W511" s="9"/>
      <c r="X511" s="15"/>
    </row>
    <row r="512" spans="1:24" ht="15.75" customHeight="1">
      <c r="A512" s="2"/>
      <c r="B512" s="9"/>
      <c r="G512" s="20"/>
      <c r="M512" s="12"/>
      <c r="N512" s="12"/>
      <c r="O512" s="12"/>
      <c r="U512" s="9"/>
      <c r="V512" s="15"/>
      <c r="W512" s="9"/>
      <c r="X512" s="15"/>
    </row>
    <row r="513" spans="1:24" ht="15.75" customHeight="1">
      <c r="A513" s="2"/>
      <c r="B513" s="9"/>
      <c r="G513" s="20"/>
      <c r="M513" s="12"/>
      <c r="N513" s="12"/>
      <c r="O513" s="12"/>
      <c r="U513" s="9"/>
      <c r="V513" s="15"/>
      <c r="W513" s="9"/>
      <c r="X513" s="15"/>
    </row>
    <row r="514" spans="1:24" ht="15.75" customHeight="1">
      <c r="A514" s="2"/>
      <c r="B514" s="9"/>
      <c r="G514" s="20"/>
      <c r="M514" s="12"/>
      <c r="N514" s="12"/>
      <c r="O514" s="12"/>
      <c r="U514" s="9"/>
      <c r="V514" s="15"/>
      <c r="W514" s="9"/>
      <c r="X514" s="15"/>
    </row>
    <row r="515" spans="1:24" ht="15.75" customHeight="1">
      <c r="A515" s="2"/>
      <c r="B515" s="9"/>
      <c r="G515" s="20"/>
      <c r="M515" s="12"/>
      <c r="N515" s="12"/>
      <c r="O515" s="12"/>
      <c r="U515" s="9"/>
      <c r="V515" s="15"/>
      <c r="W515" s="9"/>
      <c r="X515" s="15"/>
    </row>
    <row r="516" spans="1:24" ht="15.75" customHeight="1">
      <c r="A516" s="2"/>
      <c r="B516" s="9"/>
      <c r="G516" s="20"/>
      <c r="M516" s="12"/>
      <c r="N516" s="12"/>
      <c r="O516" s="12"/>
      <c r="U516" s="9"/>
      <c r="V516" s="15"/>
      <c r="W516" s="9"/>
      <c r="X516" s="15"/>
    </row>
    <row r="517" spans="1:24" ht="15.75" customHeight="1">
      <c r="A517" s="2"/>
      <c r="B517" s="9"/>
      <c r="G517" s="20"/>
      <c r="M517" s="12"/>
      <c r="N517" s="12"/>
      <c r="O517" s="12"/>
      <c r="U517" s="9"/>
      <c r="V517" s="15"/>
      <c r="W517" s="9"/>
      <c r="X517" s="15"/>
    </row>
    <row r="518" spans="1:24" ht="15.75" customHeight="1">
      <c r="A518" s="2"/>
      <c r="B518" s="9"/>
      <c r="G518" s="20"/>
      <c r="M518" s="12"/>
      <c r="N518" s="12"/>
      <c r="O518" s="12"/>
      <c r="U518" s="9"/>
      <c r="V518" s="15"/>
      <c r="W518" s="9"/>
      <c r="X518" s="15"/>
    </row>
    <row r="519" spans="1:24" ht="15.75" customHeight="1">
      <c r="A519" s="2"/>
      <c r="B519" s="9"/>
      <c r="G519" s="20"/>
      <c r="M519" s="12"/>
      <c r="N519" s="12"/>
      <c r="O519" s="12"/>
      <c r="U519" s="9"/>
      <c r="V519" s="15"/>
      <c r="W519" s="9"/>
      <c r="X519" s="15"/>
    </row>
    <row r="520" spans="1:24" ht="15.75" customHeight="1">
      <c r="A520" s="2"/>
      <c r="B520" s="9"/>
      <c r="G520" s="20"/>
      <c r="M520" s="12"/>
      <c r="N520" s="12"/>
      <c r="O520" s="12"/>
      <c r="U520" s="9"/>
      <c r="V520" s="15"/>
      <c r="W520" s="9"/>
      <c r="X520" s="15"/>
    </row>
    <row r="521" spans="1:24" ht="15.75" customHeight="1">
      <c r="A521" s="2"/>
      <c r="B521" s="9"/>
      <c r="G521" s="20"/>
      <c r="M521" s="12"/>
      <c r="N521" s="12"/>
      <c r="O521" s="12"/>
      <c r="U521" s="9"/>
      <c r="V521" s="15"/>
      <c r="W521" s="9"/>
      <c r="X521" s="15"/>
    </row>
    <row r="522" spans="1:24" ht="15.75" customHeight="1">
      <c r="A522" s="2"/>
      <c r="B522" s="9"/>
      <c r="G522" s="20"/>
      <c r="M522" s="12"/>
      <c r="N522" s="12"/>
      <c r="O522" s="12"/>
      <c r="U522" s="9"/>
      <c r="V522" s="15"/>
      <c r="W522" s="9"/>
      <c r="X522" s="15"/>
    </row>
    <row r="523" spans="1:24" ht="15.75" customHeight="1">
      <c r="A523" s="2"/>
      <c r="B523" s="9"/>
      <c r="G523" s="20"/>
      <c r="M523" s="12"/>
      <c r="N523" s="12"/>
      <c r="O523" s="12"/>
      <c r="U523" s="9"/>
      <c r="V523" s="15"/>
      <c r="W523" s="9"/>
      <c r="X523" s="15"/>
    </row>
    <row r="524" spans="1:24" ht="15.75" customHeight="1">
      <c r="A524" s="2"/>
      <c r="B524" s="9"/>
      <c r="G524" s="20"/>
      <c r="M524" s="12"/>
      <c r="N524" s="12"/>
      <c r="O524" s="12"/>
      <c r="U524" s="9"/>
      <c r="V524" s="15"/>
      <c r="W524" s="9"/>
      <c r="X524" s="15"/>
    </row>
    <row r="525" spans="1:24" ht="15.75" customHeight="1">
      <c r="A525" s="2"/>
      <c r="B525" s="9"/>
      <c r="G525" s="20"/>
      <c r="M525" s="12"/>
      <c r="N525" s="12"/>
      <c r="O525" s="12"/>
      <c r="U525" s="9"/>
      <c r="V525" s="15"/>
      <c r="W525" s="9"/>
      <c r="X525" s="15"/>
    </row>
    <row r="526" spans="1:24" ht="15.75" customHeight="1">
      <c r="A526" s="2"/>
      <c r="B526" s="9"/>
      <c r="G526" s="20"/>
      <c r="M526" s="12"/>
      <c r="N526" s="12"/>
      <c r="O526" s="12"/>
      <c r="U526" s="9"/>
      <c r="V526" s="15"/>
      <c r="W526" s="9"/>
      <c r="X526" s="15"/>
    </row>
    <row r="527" spans="1:24" ht="15.75" customHeight="1">
      <c r="A527" s="2"/>
      <c r="B527" s="9"/>
      <c r="G527" s="20"/>
      <c r="M527" s="12"/>
      <c r="N527" s="12"/>
      <c r="O527" s="12"/>
      <c r="U527" s="9"/>
      <c r="V527" s="15"/>
      <c r="W527" s="9"/>
      <c r="X527" s="15"/>
    </row>
    <row r="528" spans="1:24" ht="15.75" customHeight="1">
      <c r="A528" s="2"/>
      <c r="B528" s="9"/>
      <c r="G528" s="20"/>
      <c r="M528" s="12"/>
      <c r="N528" s="12"/>
      <c r="O528" s="12"/>
      <c r="U528" s="9"/>
      <c r="V528" s="15"/>
      <c r="W528" s="9"/>
      <c r="X528" s="15"/>
    </row>
    <row r="529" spans="1:24" ht="15.75" customHeight="1">
      <c r="A529" s="2"/>
      <c r="B529" s="9"/>
      <c r="G529" s="20"/>
      <c r="M529" s="12"/>
      <c r="N529" s="12"/>
      <c r="O529" s="12"/>
      <c r="U529" s="9"/>
      <c r="V529" s="15"/>
      <c r="W529" s="9"/>
      <c r="X529" s="15"/>
    </row>
    <row r="530" spans="1:24" ht="15.75" customHeight="1">
      <c r="A530" s="2"/>
      <c r="B530" s="9"/>
      <c r="G530" s="20"/>
      <c r="M530" s="12"/>
      <c r="N530" s="12"/>
      <c r="O530" s="12"/>
      <c r="U530" s="9"/>
      <c r="V530" s="15"/>
      <c r="W530" s="9"/>
      <c r="X530" s="15"/>
    </row>
    <row r="531" spans="1:24" ht="15.75" customHeight="1">
      <c r="A531" s="2"/>
      <c r="B531" s="9"/>
      <c r="G531" s="20"/>
      <c r="M531" s="12"/>
      <c r="N531" s="12"/>
      <c r="O531" s="12"/>
      <c r="U531" s="9"/>
      <c r="V531" s="15"/>
      <c r="W531" s="9"/>
      <c r="X531" s="15"/>
    </row>
    <row r="532" spans="1:24" ht="15.75" customHeight="1">
      <c r="A532" s="2"/>
      <c r="B532" s="9"/>
      <c r="G532" s="20"/>
      <c r="M532" s="12"/>
      <c r="N532" s="12"/>
      <c r="O532" s="12"/>
      <c r="U532" s="9"/>
      <c r="V532" s="15"/>
      <c r="W532" s="9"/>
      <c r="X532" s="15"/>
    </row>
    <row r="533" spans="1:24" ht="15.75" customHeight="1">
      <c r="A533" s="2"/>
      <c r="B533" s="9"/>
      <c r="G533" s="20"/>
      <c r="M533" s="12"/>
      <c r="N533" s="12"/>
      <c r="O533" s="12"/>
      <c r="U533" s="9"/>
      <c r="V533" s="15"/>
      <c r="W533" s="9"/>
      <c r="X533" s="15"/>
    </row>
    <row r="534" spans="1:24" ht="15.75" customHeight="1">
      <c r="A534" s="2"/>
      <c r="B534" s="9"/>
      <c r="G534" s="20"/>
      <c r="M534" s="12"/>
      <c r="N534" s="12"/>
      <c r="O534" s="12"/>
      <c r="U534" s="9"/>
      <c r="V534" s="15"/>
      <c r="W534" s="9"/>
      <c r="X534" s="15"/>
    </row>
    <row r="535" spans="1:24" ht="15.75" customHeight="1">
      <c r="A535" s="2"/>
      <c r="B535" s="9"/>
      <c r="G535" s="20"/>
      <c r="M535" s="12"/>
      <c r="N535" s="12"/>
      <c r="O535" s="12"/>
      <c r="U535" s="9"/>
      <c r="V535" s="15"/>
      <c r="W535" s="9"/>
      <c r="X535" s="15"/>
    </row>
    <row r="536" spans="1:24" ht="15.75" customHeight="1">
      <c r="A536" s="2"/>
      <c r="B536" s="9"/>
      <c r="G536" s="20"/>
      <c r="M536" s="12"/>
      <c r="N536" s="12"/>
      <c r="O536" s="12"/>
      <c r="U536" s="9"/>
      <c r="V536" s="15"/>
      <c r="W536" s="9"/>
      <c r="X536" s="15"/>
    </row>
    <row r="537" spans="1:24" ht="15.75" customHeight="1">
      <c r="A537" s="2"/>
      <c r="B537" s="9"/>
      <c r="G537" s="20"/>
      <c r="M537" s="12"/>
      <c r="N537" s="12"/>
      <c r="O537" s="12"/>
      <c r="U537" s="9"/>
      <c r="V537" s="15"/>
      <c r="W537" s="9"/>
      <c r="X537" s="15"/>
    </row>
    <row r="538" spans="1:24" ht="15.75" customHeight="1">
      <c r="A538" s="2"/>
      <c r="B538" s="9"/>
      <c r="G538" s="20"/>
      <c r="M538" s="12"/>
      <c r="N538" s="12"/>
      <c r="O538" s="12"/>
      <c r="U538" s="9"/>
      <c r="V538" s="15"/>
      <c r="W538" s="9"/>
      <c r="X538" s="15"/>
    </row>
    <row r="539" spans="1:24" ht="15.75" customHeight="1">
      <c r="A539" s="2"/>
      <c r="B539" s="9"/>
      <c r="G539" s="20"/>
      <c r="M539" s="12"/>
      <c r="N539" s="12"/>
      <c r="O539" s="12"/>
      <c r="U539" s="9"/>
      <c r="V539" s="15"/>
      <c r="W539" s="9"/>
      <c r="X539" s="15"/>
    </row>
    <row r="540" spans="1:24" ht="15.75" customHeight="1">
      <c r="A540" s="2"/>
      <c r="B540" s="9"/>
      <c r="G540" s="20"/>
      <c r="M540" s="12"/>
      <c r="N540" s="12"/>
      <c r="O540" s="12"/>
      <c r="U540" s="9"/>
      <c r="V540" s="15"/>
      <c r="W540" s="9"/>
      <c r="X540" s="15"/>
    </row>
    <row r="541" spans="1:24" ht="15.75" customHeight="1">
      <c r="A541" s="2"/>
      <c r="B541" s="9"/>
      <c r="G541" s="20"/>
      <c r="M541" s="12"/>
      <c r="N541" s="12"/>
      <c r="O541" s="12"/>
      <c r="U541" s="9"/>
      <c r="V541" s="15"/>
      <c r="W541" s="9"/>
      <c r="X541" s="15"/>
    </row>
    <row r="542" spans="1:24" ht="15.75" customHeight="1">
      <c r="A542" s="2"/>
      <c r="B542" s="9"/>
      <c r="G542" s="20"/>
      <c r="M542" s="12"/>
      <c r="N542" s="12"/>
      <c r="O542" s="12"/>
      <c r="U542" s="9"/>
      <c r="V542" s="15"/>
      <c r="W542" s="9"/>
      <c r="X542" s="15"/>
    </row>
    <row r="543" spans="1:24" ht="15.75" customHeight="1">
      <c r="A543" s="2"/>
      <c r="B543" s="9"/>
      <c r="G543" s="20"/>
      <c r="M543" s="12"/>
      <c r="N543" s="12"/>
      <c r="O543" s="12"/>
      <c r="U543" s="9"/>
      <c r="V543" s="15"/>
      <c r="W543" s="9"/>
      <c r="X543" s="15"/>
    </row>
    <row r="544" spans="1:24" ht="15.75" customHeight="1">
      <c r="A544" s="2"/>
      <c r="B544" s="9"/>
      <c r="G544" s="20"/>
      <c r="M544" s="12"/>
      <c r="N544" s="12"/>
      <c r="O544" s="12"/>
      <c r="U544" s="9"/>
      <c r="V544" s="15"/>
      <c r="W544" s="9"/>
      <c r="X544" s="15"/>
    </row>
    <row r="545" spans="1:24" ht="15.75" customHeight="1">
      <c r="A545" s="2"/>
      <c r="B545" s="9"/>
      <c r="G545" s="20"/>
      <c r="M545" s="12"/>
      <c r="N545" s="12"/>
      <c r="O545" s="12"/>
      <c r="U545" s="9"/>
      <c r="V545" s="15"/>
      <c r="W545" s="9"/>
      <c r="X545" s="15"/>
    </row>
    <row r="546" spans="1:24" ht="15.75" customHeight="1">
      <c r="A546" s="2"/>
      <c r="B546" s="9"/>
      <c r="G546" s="20"/>
      <c r="M546" s="12"/>
      <c r="N546" s="12"/>
      <c r="O546" s="12"/>
      <c r="U546" s="9"/>
      <c r="V546" s="15"/>
      <c r="W546" s="9"/>
      <c r="X546" s="15"/>
    </row>
    <row r="547" spans="1:24" ht="15.75" customHeight="1">
      <c r="A547" s="2"/>
      <c r="B547" s="9"/>
      <c r="G547" s="20"/>
      <c r="M547" s="12"/>
      <c r="N547" s="12"/>
      <c r="O547" s="12"/>
      <c r="U547" s="9"/>
      <c r="V547" s="15"/>
      <c r="W547" s="9"/>
      <c r="X547" s="15"/>
    </row>
    <row r="548" spans="1:24" ht="15.75" customHeight="1">
      <c r="A548" s="2"/>
      <c r="B548" s="9"/>
      <c r="G548" s="20"/>
      <c r="M548" s="12"/>
      <c r="N548" s="12"/>
      <c r="O548" s="12"/>
      <c r="U548" s="9"/>
      <c r="V548" s="15"/>
      <c r="W548" s="9"/>
      <c r="X548" s="15"/>
    </row>
    <row r="549" spans="1:24" ht="15.75" customHeight="1">
      <c r="A549" s="2"/>
      <c r="B549" s="9"/>
      <c r="G549" s="20"/>
      <c r="M549" s="12"/>
      <c r="N549" s="12"/>
      <c r="O549" s="12"/>
      <c r="U549" s="9"/>
      <c r="V549" s="15"/>
      <c r="W549" s="9"/>
      <c r="X549" s="15"/>
    </row>
    <row r="550" spans="1:24" ht="15.75" customHeight="1">
      <c r="A550" s="2"/>
      <c r="B550" s="9"/>
      <c r="G550" s="20"/>
      <c r="M550" s="12"/>
      <c r="N550" s="12"/>
      <c r="O550" s="12"/>
      <c r="U550" s="9"/>
      <c r="V550" s="15"/>
      <c r="W550" s="9"/>
      <c r="X550" s="15"/>
    </row>
    <row r="551" spans="1:24" ht="15.75" customHeight="1">
      <c r="A551" s="2"/>
      <c r="B551" s="9"/>
      <c r="G551" s="20"/>
      <c r="M551" s="12"/>
      <c r="N551" s="12"/>
      <c r="O551" s="12"/>
      <c r="U551" s="9"/>
      <c r="V551" s="15"/>
      <c r="W551" s="9"/>
      <c r="X551" s="15"/>
    </row>
    <row r="552" spans="1:24" ht="15.75" customHeight="1">
      <c r="A552" s="2"/>
      <c r="B552" s="9"/>
      <c r="G552" s="20"/>
      <c r="M552" s="12"/>
      <c r="N552" s="12"/>
      <c r="O552" s="12"/>
      <c r="U552" s="9"/>
      <c r="V552" s="15"/>
      <c r="W552" s="9"/>
      <c r="X552" s="15"/>
    </row>
    <row r="553" spans="1:24" ht="15.75" customHeight="1">
      <c r="A553" s="2"/>
      <c r="B553" s="9"/>
      <c r="G553" s="20"/>
      <c r="M553" s="12"/>
      <c r="N553" s="12"/>
      <c r="O553" s="12"/>
      <c r="U553" s="9"/>
      <c r="V553" s="15"/>
      <c r="W553" s="9"/>
      <c r="X553" s="15"/>
    </row>
    <row r="554" spans="1:24" ht="15.75" customHeight="1">
      <c r="A554" s="2"/>
      <c r="B554" s="9"/>
      <c r="G554" s="20"/>
      <c r="M554" s="12"/>
      <c r="N554" s="12"/>
      <c r="O554" s="12"/>
      <c r="U554" s="9"/>
      <c r="V554" s="15"/>
      <c r="W554" s="9"/>
      <c r="X554" s="15"/>
    </row>
    <row r="555" spans="1:24" ht="15.75" customHeight="1">
      <c r="A555" s="2"/>
      <c r="B555" s="9"/>
      <c r="G555" s="20"/>
      <c r="M555" s="12"/>
      <c r="N555" s="12"/>
      <c r="O555" s="12"/>
      <c r="U555" s="9"/>
      <c r="V555" s="15"/>
      <c r="W555" s="9"/>
      <c r="X555" s="15"/>
    </row>
    <row r="556" spans="1:24" ht="15.75" customHeight="1">
      <c r="A556" s="2"/>
      <c r="B556" s="9"/>
      <c r="G556" s="20"/>
      <c r="M556" s="12"/>
      <c r="N556" s="12"/>
      <c r="O556" s="12"/>
      <c r="U556" s="9"/>
      <c r="V556" s="15"/>
      <c r="W556" s="9"/>
      <c r="X556" s="15"/>
    </row>
    <row r="557" spans="1:24" ht="15.75" customHeight="1">
      <c r="A557" s="2"/>
      <c r="B557" s="9"/>
      <c r="G557" s="20"/>
      <c r="M557" s="12"/>
      <c r="N557" s="12"/>
      <c r="O557" s="12"/>
      <c r="U557" s="9"/>
      <c r="V557" s="15"/>
      <c r="W557" s="9"/>
      <c r="X557" s="15"/>
    </row>
    <row r="558" spans="1:24" ht="15.75" customHeight="1">
      <c r="A558" s="2"/>
      <c r="B558" s="9"/>
      <c r="G558" s="20"/>
      <c r="M558" s="12"/>
      <c r="N558" s="12"/>
      <c r="O558" s="12"/>
      <c r="U558" s="9"/>
      <c r="V558" s="15"/>
      <c r="W558" s="9"/>
      <c r="X558" s="15"/>
    </row>
    <row r="559" spans="1:24" ht="15.75" customHeight="1">
      <c r="A559" s="2"/>
      <c r="B559" s="9"/>
      <c r="G559" s="20"/>
      <c r="M559" s="12"/>
      <c r="N559" s="12"/>
      <c r="O559" s="12"/>
      <c r="U559" s="9"/>
      <c r="V559" s="15"/>
      <c r="W559" s="9"/>
      <c r="X559" s="15"/>
    </row>
    <row r="560" spans="1:24" ht="15.75" customHeight="1">
      <c r="A560" s="2"/>
      <c r="B560" s="9"/>
      <c r="G560" s="20"/>
      <c r="M560" s="12"/>
      <c r="N560" s="12"/>
      <c r="O560" s="12"/>
      <c r="U560" s="9"/>
      <c r="V560" s="15"/>
      <c r="W560" s="9"/>
      <c r="X560" s="15"/>
    </row>
    <row r="561" spans="1:24" ht="15.75" customHeight="1">
      <c r="A561" s="2"/>
      <c r="B561" s="9"/>
      <c r="G561" s="20"/>
      <c r="M561" s="12"/>
      <c r="N561" s="12"/>
      <c r="O561" s="12"/>
      <c r="U561" s="9"/>
      <c r="V561" s="15"/>
      <c r="W561" s="9"/>
      <c r="X561" s="15"/>
    </row>
    <row r="562" spans="1:24" ht="15.75" customHeight="1">
      <c r="A562" s="2"/>
      <c r="B562" s="9"/>
      <c r="G562" s="20"/>
      <c r="M562" s="12"/>
      <c r="N562" s="12"/>
      <c r="O562" s="12"/>
      <c r="U562" s="9"/>
      <c r="V562" s="15"/>
      <c r="W562" s="9"/>
      <c r="X562" s="15"/>
    </row>
    <row r="563" spans="1:24" ht="15.75" customHeight="1">
      <c r="A563" s="2"/>
      <c r="B563" s="9"/>
      <c r="G563" s="20"/>
      <c r="M563" s="12"/>
      <c r="N563" s="12"/>
      <c r="O563" s="12"/>
      <c r="U563" s="9"/>
      <c r="V563" s="15"/>
      <c r="W563" s="9"/>
      <c r="X563" s="15"/>
    </row>
    <row r="564" spans="1:24" ht="15.75" customHeight="1">
      <c r="A564" s="2"/>
      <c r="B564" s="9"/>
      <c r="G564" s="20"/>
      <c r="M564" s="12"/>
      <c r="N564" s="12"/>
      <c r="O564" s="12"/>
      <c r="U564" s="9"/>
      <c r="V564" s="15"/>
      <c r="W564" s="9"/>
      <c r="X564" s="15"/>
    </row>
    <row r="565" spans="1:24" ht="15.75" customHeight="1">
      <c r="A565" s="2"/>
      <c r="B565" s="9"/>
      <c r="G565" s="20"/>
      <c r="M565" s="12"/>
      <c r="N565" s="12"/>
      <c r="O565" s="12"/>
      <c r="U565" s="9"/>
      <c r="V565" s="15"/>
      <c r="W565" s="9"/>
      <c r="X565" s="15"/>
    </row>
    <row r="566" spans="1:24" ht="15.75" customHeight="1">
      <c r="A566" s="2"/>
      <c r="B566" s="9"/>
      <c r="G566" s="20"/>
      <c r="M566" s="12"/>
      <c r="N566" s="12"/>
      <c r="O566" s="12"/>
      <c r="U566" s="9"/>
      <c r="V566" s="15"/>
      <c r="W566" s="9"/>
      <c r="X566" s="15"/>
    </row>
    <row r="567" spans="1:24" ht="15.75" customHeight="1">
      <c r="A567" s="2"/>
      <c r="B567" s="9"/>
      <c r="G567" s="20"/>
      <c r="M567" s="12"/>
      <c r="N567" s="12"/>
      <c r="O567" s="12"/>
      <c r="U567" s="9"/>
      <c r="V567" s="15"/>
      <c r="W567" s="9"/>
      <c r="X567" s="15"/>
    </row>
    <row r="568" spans="1:24" ht="15.75" customHeight="1">
      <c r="A568" s="2"/>
      <c r="B568" s="9"/>
      <c r="G568" s="20"/>
      <c r="M568" s="12"/>
      <c r="N568" s="12"/>
      <c r="O568" s="12"/>
      <c r="U568" s="9"/>
      <c r="V568" s="15"/>
      <c r="W568" s="9"/>
      <c r="X568" s="15"/>
    </row>
    <row r="569" spans="1:24" ht="15.75" customHeight="1">
      <c r="A569" s="2"/>
      <c r="B569" s="9"/>
      <c r="G569" s="20"/>
      <c r="M569" s="12"/>
      <c r="N569" s="12"/>
      <c r="O569" s="12"/>
      <c r="U569" s="9"/>
      <c r="V569" s="15"/>
      <c r="W569" s="9"/>
      <c r="X569" s="15"/>
    </row>
    <row r="570" spans="1:24" ht="15.75" customHeight="1">
      <c r="A570" s="2"/>
      <c r="B570" s="9"/>
      <c r="G570" s="20"/>
      <c r="M570" s="12"/>
      <c r="N570" s="12"/>
      <c r="O570" s="12"/>
      <c r="U570" s="9"/>
      <c r="V570" s="15"/>
      <c r="W570" s="9"/>
      <c r="X570" s="15"/>
    </row>
    <row r="571" spans="1:24" ht="15.75" customHeight="1">
      <c r="A571" s="2"/>
      <c r="B571" s="9"/>
      <c r="G571" s="20"/>
      <c r="M571" s="12"/>
      <c r="N571" s="12"/>
      <c r="O571" s="12"/>
      <c r="U571" s="9"/>
      <c r="V571" s="15"/>
      <c r="W571" s="9"/>
      <c r="X571" s="15"/>
    </row>
    <row r="572" spans="1:24" ht="15.75" customHeight="1">
      <c r="A572" s="2"/>
      <c r="B572" s="9"/>
      <c r="G572" s="20"/>
      <c r="M572" s="12"/>
      <c r="N572" s="12"/>
      <c r="O572" s="12"/>
      <c r="U572" s="9"/>
      <c r="V572" s="15"/>
      <c r="W572" s="9"/>
      <c r="X572" s="15"/>
    </row>
    <row r="573" spans="1:24" ht="15.75" customHeight="1">
      <c r="A573" s="2"/>
      <c r="B573" s="9"/>
      <c r="G573" s="20"/>
      <c r="M573" s="12"/>
      <c r="N573" s="12"/>
      <c r="O573" s="12"/>
      <c r="U573" s="9"/>
      <c r="V573" s="15"/>
      <c r="W573" s="9"/>
      <c r="X573" s="15"/>
    </row>
    <row r="574" spans="1:24" ht="15.75" customHeight="1">
      <c r="A574" s="2"/>
      <c r="B574" s="9"/>
      <c r="G574" s="20"/>
      <c r="M574" s="12"/>
      <c r="N574" s="12"/>
      <c r="O574" s="12"/>
      <c r="U574" s="9"/>
      <c r="V574" s="15"/>
      <c r="W574" s="9"/>
      <c r="X574" s="15"/>
    </row>
    <row r="575" spans="1:24" ht="15.75" customHeight="1">
      <c r="A575" s="2"/>
      <c r="B575" s="9"/>
      <c r="G575" s="20"/>
      <c r="M575" s="12"/>
      <c r="N575" s="12"/>
      <c r="O575" s="12"/>
      <c r="U575" s="9"/>
      <c r="V575" s="15"/>
      <c r="W575" s="9"/>
      <c r="X575" s="15"/>
    </row>
    <row r="576" spans="1:24" ht="15.75" customHeight="1">
      <c r="A576" s="2"/>
      <c r="B576" s="9"/>
      <c r="G576" s="20"/>
      <c r="M576" s="12"/>
      <c r="N576" s="12"/>
      <c r="O576" s="12"/>
      <c r="U576" s="9"/>
      <c r="V576" s="15"/>
      <c r="W576" s="9"/>
      <c r="X576" s="15"/>
    </row>
    <row r="577" spans="1:24" ht="15.75" customHeight="1">
      <c r="A577" s="2"/>
      <c r="B577" s="9"/>
      <c r="G577" s="20"/>
      <c r="M577" s="12"/>
      <c r="N577" s="12"/>
      <c r="O577" s="12"/>
      <c r="U577" s="9"/>
      <c r="V577" s="15"/>
      <c r="W577" s="9"/>
      <c r="X577" s="15"/>
    </row>
    <row r="578" spans="1:24" ht="15.75" customHeight="1">
      <c r="A578" s="2"/>
      <c r="B578" s="9"/>
      <c r="G578" s="20"/>
      <c r="M578" s="12"/>
      <c r="N578" s="12"/>
      <c r="O578" s="12"/>
      <c r="U578" s="9"/>
      <c r="V578" s="15"/>
      <c r="W578" s="9"/>
      <c r="X578" s="15"/>
    </row>
    <row r="579" spans="1:24" ht="15.75" customHeight="1">
      <c r="A579" s="2"/>
      <c r="B579" s="9"/>
      <c r="G579" s="20"/>
      <c r="M579" s="12"/>
      <c r="N579" s="12"/>
      <c r="O579" s="12"/>
      <c r="U579" s="9"/>
      <c r="V579" s="15"/>
      <c r="W579" s="9"/>
      <c r="X579" s="15"/>
    </row>
    <row r="580" spans="1:24" ht="15.75" customHeight="1">
      <c r="A580" s="2"/>
      <c r="B580" s="9"/>
      <c r="G580" s="20"/>
      <c r="M580" s="12"/>
      <c r="N580" s="12"/>
      <c r="O580" s="12"/>
      <c r="U580" s="9"/>
      <c r="V580" s="15"/>
      <c r="W580" s="9"/>
      <c r="X580" s="15"/>
    </row>
    <row r="581" spans="1:24" ht="15.75" customHeight="1">
      <c r="A581" s="2"/>
      <c r="B581" s="9"/>
      <c r="G581" s="20"/>
      <c r="M581" s="12"/>
      <c r="N581" s="12"/>
      <c r="O581" s="12"/>
      <c r="U581" s="9"/>
      <c r="V581" s="15"/>
      <c r="W581" s="9"/>
      <c r="X581" s="15"/>
    </row>
    <row r="582" spans="1:24" ht="15.75" customHeight="1">
      <c r="A582" s="2"/>
      <c r="B582" s="9"/>
      <c r="G582" s="20"/>
      <c r="M582" s="12"/>
      <c r="N582" s="12"/>
      <c r="O582" s="12"/>
      <c r="U582" s="9"/>
      <c r="V582" s="15"/>
      <c r="W582" s="9"/>
      <c r="X582" s="15"/>
    </row>
    <row r="583" spans="1:24" ht="15.75" customHeight="1">
      <c r="A583" s="2"/>
      <c r="B583" s="9"/>
      <c r="G583" s="20"/>
      <c r="M583" s="12"/>
      <c r="N583" s="12"/>
      <c r="O583" s="12"/>
      <c r="U583" s="9"/>
      <c r="V583" s="15"/>
      <c r="W583" s="9"/>
      <c r="X583" s="15"/>
    </row>
    <row r="584" spans="1:24" ht="15.75" customHeight="1">
      <c r="A584" s="2"/>
      <c r="B584" s="9"/>
      <c r="G584" s="20"/>
      <c r="M584" s="12"/>
      <c r="N584" s="12"/>
      <c r="O584" s="12"/>
      <c r="U584" s="9"/>
      <c r="V584" s="15"/>
      <c r="W584" s="9"/>
      <c r="X584" s="15"/>
    </row>
    <row r="585" spans="1:24" ht="15.75" customHeight="1">
      <c r="A585" s="2"/>
      <c r="B585" s="9"/>
      <c r="G585" s="20"/>
      <c r="M585" s="12"/>
      <c r="N585" s="12"/>
      <c r="O585" s="12"/>
      <c r="U585" s="9"/>
      <c r="V585" s="15"/>
      <c r="W585" s="9"/>
      <c r="X585" s="15"/>
    </row>
    <row r="586" spans="1:24" ht="15.75" customHeight="1">
      <c r="A586" s="2"/>
      <c r="B586" s="9"/>
      <c r="G586" s="20"/>
      <c r="M586" s="12"/>
      <c r="N586" s="12"/>
      <c r="O586" s="12"/>
      <c r="U586" s="9"/>
      <c r="V586" s="15"/>
      <c r="W586" s="9"/>
      <c r="X586" s="15"/>
    </row>
    <row r="587" spans="1:24" ht="15.75" customHeight="1">
      <c r="A587" s="2"/>
      <c r="B587" s="9"/>
      <c r="G587" s="20"/>
      <c r="M587" s="12"/>
      <c r="N587" s="12"/>
      <c r="O587" s="12"/>
      <c r="U587" s="9"/>
      <c r="V587" s="15"/>
      <c r="W587" s="9"/>
      <c r="X587" s="15"/>
    </row>
    <row r="588" spans="1:24" ht="15.75" customHeight="1">
      <c r="A588" s="2"/>
      <c r="B588" s="9"/>
      <c r="G588" s="20"/>
      <c r="M588" s="12"/>
      <c r="N588" s="12"/>
      <c r="O588" s="12"/>
      <c r="U588" s="9"/>
      <c r="V588" s="15"/>
      <c r="W588" s="9"/>
      <c r="X588" s="15"/>
    </row>
    <row r="589" spans="1:24" ht="15.75" customHeight="1">
      <c r="A589" s="2"/>
      <c r="B589" s="9"/>
      <c r="G589" s="20"/>
      <c r="M589" s="12"/>
      <c r="N589" s="12"/>
      <c r="O589" s="12"/>
      <c r="U589" s="9"/>
      <c r="V589" s="15"/>
      <c r="W589" s="9"/>
      <c r="X589" s="15"/>
    </row>
    <row r="590" spans="1:24" ht="15.75" customHeight="1">
      <c r="A590" s="2"/>
      <c r="B590" s="9"/>
      <c r="G590" s="20"/>
      <c r="M590" s="12"/>
      <c r="N590" s="12"/>
      <c r="O590" s="12"/>
      <c r="U590" s="9"/>
      <c r="V590" s="15"/>
      <c r="W590" s="9"/>
      <c r="X590" s="15"/>
    </row>
    <row r="591" spans="1:24" ht="15.75" customHeight="1">
      <c r="A591" s="2"/>
      <c r="B591" s="9"/>
      <c r="G591" s="20"/>
      <c r="M591" s="12"/>
      <c r="N591" s="12"/>
      <c r="O591" s="12"/>
      <c r="U591" s="9"/>
      <c r="V591" s="15"/>
      <c r="W591" s="9"/>
      <c r="X591" s="15"/>
    </row>
    <row r="592" spans="1:24" ht="15.75" customHeight="1">
      <c r="A592" s="2"/>
      <c r="B592" s="9"/>
      <c r="G592" s="20"/>
      <c r="M592" s="12"/>
      <c r="N592" s="12"/>
      <c r="O592" s="12"/>
      <c r="U592" s="9"/>
      <c r="V592" s="15"/>
      <c r="W592" s="9"/>
      <c r="X592" s="15"/>
    </row>
    <row r="593" spans="1:24" ht="15.75" customHeight="1">
      <c r="A593" s="2"/>
      <c r="B593" s="9"/>
      <c r="G593" s="20"/>
      <c r="M593" s="12"/>
      <c r="N593" s="12"/>
      <c r="O593" s="12"/>
      <c r="U593" s="9"/>
      <c r="V593" s="15"/>
      <c r="W593" s="9"/>
      <c r="X593" s="15"/>
    </row>
    <row r="594" spans="1:24" ht="15.75" customHeight="1">
      <c r="A594" s="2"/>
      <c r="B594" s="9"/>
      <c r="G594" s="20"/>
      <c r="M594" s="12"/>
      <c r="N594" s="12"/>
      <c r="O594" s="12"/>
      <c r="U594" s="9"/>
      <c r="V594" s="15"/>
      <c r="W594" s="9"/>
      <c r="X594" s="15"/>
    </row>
    <row r="595" spans="1:24" ht="15.75" customHeight="1">
      <c r="A595" s="2"/>
      <c r="B595" s="9"/>
      <c r="G595" s="20"/>
      <c r="M595" s="12"/>
      <c r="N595" s="12"/>
      <c r="O595" s="12"/>
      <c r="U595" s="9"/>
      <c r="V595" s="15"/>
      <c r="W595" s="9"/>
      <c r="X595" s="15"/>
    </row>
    <row r="596" spans="1:24" ht="15.75" customHeight="1">
      <c r="A596" s="2"/>
      <c r="B596" s="9"/>
      <c r="G596" s="20"/>
      <c r="M596" s="12"/>
      <c r="N596" s="12"/>
      <c r="O596" s="12"/>
      <c r="U596" s="9"/>
      <c r="V596" s="15"/>
      <c r="W596" s="9"/>
      <c r="X596" s="15"/>
    </row>
    <row r="597" spans="1:24" ht="15.75" customHeight="1">
      <c r="A597" s="2"/>
      <c r="B597" s="9"/>
      <c r="G597" s="20"/>
      <c r="M597" s="12"/>
      <c r="N597" s="12"/>
      <c r="O597" s="12"/>
      <c r="U597" s="9"/>
      <c r="V597" s="15"/>
      <c r="W597" s="9"/>
      <c r="X597" s="15"/>
    </row>
    <row r="598" spans="1:24" ht="15.75" customHeight="1">
      <c r="A598" s="2"/>
      <c r="B598" s="9"/>
      <c r="G598" s="20"/>
      <c r="M598" s="12"/>
      <c r="N598" s="12"/>
      <c r="O598" s="12"/>
      <c r="U598" s="9"/>
      <c r="V598" s="15"/>
      <c r="W598" s="9"/>
      <c r="X598" s="15"/>
    </row>
    <row r="599" spans="1:24" ht="15.75" customHeight="1">
      <c r="A599" s="2"/>
      <c r="B599" s="9"/>
      <c r="G599" s="20"/>
      <c r="M599" s="12"/>
      <c r="N599" s="12"/>
      <c r="O599" s="12"/>
      <c r="U599" s="9"/>
      <c r="V599" s="15"/>
      <c r="W599" s="9"/>
      <c r="X599" s="15"/>
    </row>
    <row r="600" spans="1:24" ht="15.75" customHeight="1">
      <c r="A600" s="2"/>
      <c r="B600" s="9"/>
      <c r="G600" s="20"/>
      <c r="M600" s="12"/>
      <c r="N600" s="12"/>
      <c r="O600" s="12"/>
      <c r="U600" s="9"/>
      <c r="V600" s="15"/>
      <c r="W600" s="9"/>
      <c r="X600" s="15"/>
    </row>
    <row r="601" spans="1:24" ht="15.75" customHeight="1">
      <c r="A601" s="2"/>
      <c r="B601" s="9"/>
      <c r="G601" s="20"/>
      <c r="M601" s="12"/>
      <c r="N601" s="12"/>
      <c r="O601" s="12"/>
      <c r="U601" s="9"/>
      <c r="V601" s="15"/>
      <c r="W601" s="9"/>
      <c r="X601" s="15"/>
    </row>
    <row r="602" spans="1:24" ht="15.75" customHeight="1">
      <c r="A602" s="2"/>
      <c r="B602" s="9"/>
      <c r="G602" s="20"/>
      <c r="M602" s="12"/>
      <c r="N602" s="12"/>
      <c r="O602" s="12"/>
      <c r="U602" s="9"/>
      <c r="V602" s="15"/>
      <c r="W602" s="9"/>
      <c r="X602" s="15"/>
    </row>
    <row r="603" spans="1:24" ht="15.75" customHeight="1">
      <c r="A603" s="2"/>
      <c r="B603" s="9"/>
      <c r="G603" s="20"/>
      <c r="M603" s="12"/>
      <c r="N603" s="12"/>
      <c r="O603" s="12"/>
      <c r="U603" s="9"/>
      <c r="V603" s="15"/>
      <c r="W603" s="9"/>
      <c r="X603" s="15"/>
    </row>
    <row r="604" spans="1:24" ht="15.75" customHeight="1">
      <c r="A604" s="2"/>
      <c r="B604" s="9"/>
      <c r="G604" s="20"/>
      <c r="M604" s="12"/>
      <c r="N604" s="12"/>
      <c r="O604" s="12"/>
      <c r="U604" s="9"/>
      <c r="V604" s="15"/>
      <c r="W604" s="9"/>
      <c r="X604" s="15"/>
    </row>
    <row r="605" spans="1:24" ht="15.75" customHeight="1">
      <c r="A605" s="2"/>
      <c r="B605" s="9"/>
      <c r="G605" s="20"/>
      <c r="M605" s="12"/>
      <c r="N605" s="12"/>
      <c r="O605" s="12"/>
      <c r="U605" s="9"/>
      <c r="V605" s="15"/>
      <c r="W605" s="9"/>
      <c r="X605" s="15"/>
    </row>
    <row r="606" spans="1:24" ht="15.75" customHeight="1">
      <c r="A606" s="2"/>
      <c r="B606" s="9"/>
      <c r="G606" s="20"/>
      <c r="M606" s="12"/>
      <c r="N606" s="12"/>
      <c r="O606" s="12"/>
      <c r="U606" s="9"/>
      <c r="V606" s="15"/>
      <c r="W606" s="9"/>
      <c r="X606" s="15"/>
    </row>
    <row r="607" spans="1:24" ht="15.75" customHeight="1">
      <c r="A607" s="2"/>
      <c r="B607" s="9"/>
      <c r="G607" s="20"/>
      <c r="M607" s="12"/>
      <c r="N607" s="12"/>
      <c r="O607" s="12"/>
      <c r="U607" s="9"/>
      <c r="V607" s="15"/>
      <c r="W607" s="9"/>
      <c r="X607" s="15"/>
    </row>
    <row r="608" spans="1:24" ht="15.75" customHeight="1">
      <c r="A608" s="2"/>
      <c r="B608" s="9"/>
      <c r="G608" s="20"/>
      <c r="M608" s="12"/>
      <c r="N608" s="12"/>
      <c r="O608" s="12"/>
      <c r="U608" s="9"/>
      <c r="V608" s="15"/>
      <c r="W608" s="9"/>
      <c r="X608" s="15"/>
    </row>
    <row r="609" spans="1:24" ht="15.75" customHeight="1">
      <c r="A609" s="2"/>
      <c r="B609" s="9"/>
      <c r="G609" s="20"/>
      <c r="M609" s="12"/>
      <c r="N609" s="12"/>
      <c r="O609" s="12"/>
      <c r="U609" s="9"/>
      <c r="V609" s="15"/>
      <c r="W609" s="9"/>
      <c r="X609" s="15"/>
    </row>
    <row r="610" spans="1:24" ht="15.75" customHeight="1">
      <c r="A610" s="2"/>
      <c r="B610" s="9"/>
      <c r="G610" s="20"/>
      <c r="M610" s="12"/>
      <c r="N610" s="12"/>
      <c r="O610" s="12"/>
      <c r="U610" s="9"/>
      <c r="V610" s="15"/>
      <c r="W610" s="9"/>
      <c r="X610" s="15"/>
    </row>
    <row r="611" spans="1:24" ht="15.75" customHeight="1">
      <c r="A611" s="2"/>
      <c r="B611" s="9"/>
      <c r="G611" s="20"/>
      <c r="M611" s="12"/>
      <c r="N611" s="12"/>
      <c r="O611" s="12"/>
      <c r="U611" s="9"/>
      <c r="V611" s="15"/>
      <c r="W611" s="9"/>
      <c r="X611" s="15"/>
    </row>
    <row r="612" spans="1:24" ht="15.75" customHeight="1">
      <c r="A612" s="2"/>
      <c r="B612" s="9"/>
      <c r="G612" s="20"/>
      <c r="M612" s="12"/>
      <c r="N612" s="12"/>
      <c r="O612" s="12"/>
      <c r="U612" s="9"/>
      <c r="V612" s="15"/>
      <c r="W612" s="9"/>
      <c r="X612" s="15"/>
    </row>
    <row r="613" spans="1:24" ht="15.75" customHeight="1">
      <c r="A613" s="2"/>
      <c r="B613" s="9"/>
      <c r="G613" s="20"/>
      <c r="M613" s="12"/>
      <c r="N613" s="12"/>
      <c r="O613" s="12"/>
      <c r="U613" s="9"/>
      <c r="V613" s="15"/>
      <c r="W613" s="9"/>
      <c r="X613" s="15"/>
    </row>
    <row r="614" spans="1:24" ht="15.75" customHeight="1">
      <c r="A614" s="2"/>
      <c r="B614" s="9"/>
      <c r="G614" s="20"/>
      <c r="M614" s="12"/>
      <c r="N614" s="12"/>
      <c r="O614" s="12"/>
      <c r="U614" s="9"/>
      <c r="V614" s="15"/>
      <c r="W614" s="9"/>
      <c r="X614" s="15"/>
    </row>
    <row r="615" spans="1:24" ht="15.75" customHeight="1">
      <c r="A615" s="2"/>
      <c r="B615" s="9"/>
      <c r="G615" s="20"/>
      <c r="M615" s="12"/>
      <c r="N615" s="12"/>
      <c r="O615" s="12"/>
      <c r="U615" s="9"/>
      <c r="V615" s="15"/>
      <c r="W615" s="9"/>
      <c r="X615" s="15"/>
    </row>
    <row r="616" spans="1:24" ht="15.75" customHeight="1">
      <c r="A616" s="2"/>
      <c r="B616" s="9"/>
      <c r="G616" s="20"/>
      <c r="M616" s="12"/>
      <c r="N616" s="12"/>
      <c r="O616" s="12"/>
      <c r="U616" s="9"/>
      <c r="V616" s="15"/>
      <c r="W616" s="9"/>
      <c r="X616" s="15"/>
    </row>
    <row r="617" spans="1:24" ht="15.75" customHeight="1">
      <c r="A617" s="2"/>
      <c r="B617" s="9"/>
      <c r="G617" s="20"/>
      <c r="M617" s="12"/>
      <c r="N617" s="12"/>
      <c r="O617" s="12"/>
      <c r="U617" s="9"/>
      <c r="V617" s="15"/>
      <c r="W617" s="9"/>
      <c r="X617" s="15"/>
    </row>
    <row r="618" spans="1:24" ht="15.75" customHeight="1">
      <c r="A618" s="2"/>
      <c r="B618" s="9"/>
      <c r="G618" s="20"/>
      <c r="M618" s="12"/>
      <c r="N618" s="12"/>
      <c r="O618" s="12"/>
      <c r="U618" s="9"/>
      <c r="V618" s="15"/>
      <c r="W618" s="9"/>
      <c r="X618" s="15"/>
    </row>
    <row r="619" spans="1:24" ht="15.75" customHeight="1">
      <c r="A619" s="2"/>
      <c r="B619" s="9"/>
      <c r="G619" s="20"/>
      <c r="M619" s="12"/>
      <c r="N619" s="12"/>
      <c r="O619" s="12"/>
      <c r="U619" s="9"/>
      <c r="V619" s="15"/>
      <c r="W619" s="9"/>
      <c r="X619" s="15"/>
    </row>
    <row r="620" spans="1:24" ht="15.75" customHeight="1">
      <c r="A620" s="2"/>
      <c r="B620" s="9"/>
      <c r="G620" s="20"/>
      <c r="M620" s="12"/>
      <c r="N620" s="12"/>
      <c r="O620" s="12"/>
      <c r="U620" s="9"/>
      <c r="V620" s="15"/>
      <c r="W620" s="9"/>
      <c r="X620" s="15"/>
    </row>
    <row r="621" spans="1:24" ht="15.75" customHeight="1">
      <c r="A621" s="2"/>
      <c r="B621" s="9"/>
      <c r="G621" s="20"/>
      <c r="M621" s="12"/>
      <c r="N621" s="12"/>
      <c r="O621" s="12"/>
      <c r="U621" s="9"/>
      <c r="V621" s="15"/>
      <c r="W621" s="9"/>
      <c r="X621" s="15"/>
    </row>
    <row r="622" spans="1:24" ht="15.75" customHeight="1">
      <c r="A622" s="2"/>
      <c r="B622" s="9"/>
      <c r="G622" s="20"/>
      <c r="M622" s="12"/>
      <c r="N622" s="12"/>
      <c r="O622" s="12"/>
      <c r="U622" s="9"/>
      <c r="V622" s="15"/>
      <c r="W622" s="9"/>
      <c r="X622" s="15"/>
    </row>
    <row r="623" spans="1:24" ht="15.75" customHeight="1">
      <c r="A623" s="2"/>
      <c r="B623" s="9"/>
      <c r="G623" s="20"/>
      <c r="M623" s="12"/>
      <c r="N623" s="12"/>
      <c r="O623" s="12"/>
      <c r="U623" s="9"/>
      <c r="V623" s="15"/>
      <c r="W623" s="9"/>
      <c r="X623" s="15"/>
    </row>
    <row r="624" spans="1:24" ht="15.75" customHeight="1">
      <c r="A624" s="2"/>
      <c r="B624" s="9"/>
      <c r="G624" s="20"/>
      <c r="M624" s="12"/>
      <c r="N624" s="12"/>
      <c r="O624" s="12"/>
      <c r="U624" s="9"/>
      <c r="V624" s="15"/>
      <c r="W624" s="9"/>
      <c r="X624" s="15"/>
    </row>
    <row r="625" spans="1:24" ht="15.75" customHeight="1">
      <c r="A625" s="2"/>
      <c r="B625" s="9"/>
      <c r="G625" s="20"/>
      <c r="M625" s="12"/>
      <c r="N625" s="12"/>
      <c r="O625" s="12"/>
      <c r="U625" s="9"/>
      <c r="V625" s="15"/>
      <c r="W625" s="9"/>
      <c r="X625" s="15"/>
    </row>
    <row r="626" spans="1:24" ht="15.75" customHeight="1">
      <c r="A626" s="2"/>
      <c r="B626" s="9"/>
      <c r="G626" s="20"/>
      <c r="M626" s="12"/>
      <c r="N626" s="12"/>
      <c r="O626" s="12"/>
      <c r="U626" s="9"/>
      <c r="V626" s="15"/>
      <c r="W626" s="9"/>
      <c r="X626" s="15"/>
    </row>
    <row r="627" spans="1:24" ht="15.75" customHeight="1">
      <c r="A627" s="2"/>
      <c r="B627" s="9"/>
      <c r="G627" s="20"/>
      <c r="M627" s="12"/>
      <c r="N627" s="12"/>
      <c r="O627" s="12"/>
      <c r="U627" s="9"/>
      <c r="V627" s="15"/>
      <c r="W627" s="9"/>
      <c r="X627" s="15"/>
    </row>
    <row r="628" spans="1:24" ht="15.75" customHeight="1">
      <c r="A628" s="2"/>
      <c r="B628" s="9"/>
      <c r="G628" s="20"/>
      <c r="M628" s="12"/>
      <c r="N628" s="12"/>
      <c r="O628" s="12"/>
      <c r="U628" s="9"/>
      <c r="V628" s="15"/>
      <c r="W628" s="9"/>
      <c r="X628" s="15"/>
    </row>
    <row r="629" spans="1:24" ht="15.75" customHeight="1">
      <c r="A629" s="2"/>
      <c r="B629" s="9"/>
      <c r="G629" s="20"/>
      <c r="M629" s="12"/>
      <c r="N629" s="12"/>
      <c r="O629" s="12"/>
      <c r="U629" s="9"/>
      <c r="V629" s="15"/>
      <c r="W629" s="9"/>
      <c r="X629" s="15"/>
    </row>
    <row r="630" spans="1:24" ht="15.75" customHeight="1">
      <c r="A630" s="2"/>
      <c r="B630" s="9"/>
      <c r="G630" s="20"/>
      <c r="M630" s="12"/>
      <c r="N630" s="12"/>
      <c r="O630" s="12"/>
      <c r="U630" s="9"/>
      <c r="V630" s="15"/>
      <c r="W630" s="9"/>
      <c r="X630" s="15"/>
    </row>
    <row r="631" spans="1:24" ht="15.75" customHeight="1">
      <c r="A631" s="2"/>
      <c r="B631" s="9"/>
      <c r="G631" s="20"/>
      <c r="M631" s="12"/>
      <c r="N631" s="12"/>
      <c r="O631" s="12"/>
      <c r="U631" s="9"/>
      <c r="V631" s="15"/>
      <c r="W631" s="9"/>
      <c r="X631" s="15"/>
    </row>
    <row r="632" spans="1:24" ht="15.75" customHeight="1">
      <c r="A632" s="2"/>
      <c r="B632" s="9"/>
      <c r="G632" s="20"/>
      <c r="M632" s="12"/>
      <c r="N632" s="12"/>
      <c r="O632" s="12"/>
      <c r="U632" s="9"/>
      <c r="V632" s="15"/>
      <c r="W632" s="9"/>
      <c r="X632" s="15"/>
    </row>
    <row r="633" spans="1:24" ht="15.75" customHeight="1">
      <c r="A633" s="2"/>
      <c r="B633" s="9"/>
      <c r="G633" s="20"/>
      <c r="M633" s="12"/>
      <c r="N633" s="12"/>
      <c r="O633" s="12"/>
      <c r="U633" s="9"/>
      <c r="V633" s="15"/>
      <c r="W633" s="9"/>
      <c r="X633" s="15"/>
    </row>
    <row r="634" spans="1:24" ht="15.75" customHeight="1">
      <c r="A634" s="2"/>
      <c r="B634" s="9"/>
      <c r="G634" s="20"/>
      <c r="M634" s="12"/>
      <c r="N634" s="12"/>
      <c r="O634" s="12"/>
      <c r="U634" s="9"/>
      <c r="V634" s="15"/>
      <c r="W634" s="9"/>
      <c r="X634" s="15"/>
    </row>
    <row r="635" spans="1:24" ht="15.75" customHeight="1">
      <c r="A635" s="2"/>
      <c r="B635" s="9"/>
      <c r="G635" s="20"/>
      <c r="M635" s="12"/>
      <c r="N635" s="12"/>
      <c r="O635" s="12"/>
      <c r="U635" s="9"/>
      <c r="V635" s="15"/>
      <c r="W635" s="9"/>
      <c r="X635" s="15"/>
    </row>
    <row r="636" spans="1:24" ht="15.75" customHeight="1">
      <c r="A636" s="2"/>
      <c r="B636" s="9"/>
      <c r="G636" s="20"/>
      <c r="M636" s="12"/>
      <c r="N636" s="12"/>
      <c r="O636" s="12"/>
      <c r="U636" s="9"/>
      <c r="V636" s="15"/>
      <c r="W636" s="9"/>
      <c r="X636" s="15"/>
    </row>
    <row r="637" spans="1:24" ht="15.75" customHeight="1">
      <c r="A637" s="2"/>
      <c r="B637" s="9"/>
      <c r="G637" s="20"/>
      <c r="M637" s="12"/>
      <c r="N637" s="12"/>
      <c r="O637" s="12"/>
      <c r="U637" s="9"/>
      <c r="V637" s="15"/>
      <c r="W637" s="9"/>
      <c r="X637" s="15"/>
    </row>
    <row r="638" spans="1:24" ht="15.75" customHeight="1">
      <c r="A638" s="2"/>
      <c r="B638" s="9"/>
      <c r="G638" s="20"/>
      <c r="M638" s="12"/>
      <c r="N638" s="12"/>
      <c r="O638" s="12"/>
      <c r="U638" s="9"/>
      <c r="V638" s="15"/>
      <c r="W638" s="9"/>
      <c r="X638" s="15"/>
    </row>
    <row r="639" spans="1:24" ht="15.75" customHeight="1">
      <c r="A639" s="2"/>
      <c r="B639" s="9"/>
      <c r="G639" s="20"/>
      <c r="M639" s="12"/>
      <c r="N639" s="12"/>
      <c r="O639" s="12"/>
      <c r="U639" s="9"/>
      <c r="V639" s="15"/>
      <c r="W639" s="9"/>
      <c r="X639" s="15"/>
    </row>
    <row r="640" spans="1:24" ht="15.75" customHeight="1">
      <c r="A640" s="2"/>
      <c r="B640" s="9"/>
      <c r="G640" s="20"/>
      <c r="M640" s="12"/>
      <c r="N640" s="12"/>
      <c r="O640" s="12"/>
      <c r="U640" s="9"/>
      <c r="V640" s="15"/>
      <c r="W640" s="9"/>
      <c r="X640" s="15"/>
    </row>
    <row r="641" spans="1:24" ht="15.75" customHeight="1">
      <c r="A641" s="2"/>
      <c r="B641" s="9"/>
      <c r="G641" s="20"/>
      <c r="M641" s="12"/>
      <c r="N641" s="12"/>
      <c r="O641" s="12"/>
      <c r="U641" s="9"/>
      <c r="V641" s="15"/>
      <c r="W641" s="9"/>
      <c r="X641" s="15"/>
    </row>
    <row r="642" spans="1:24" ht="15.75" customHeight="1">
      <c r="A642" s="2"/>
      <c r="B642" s="9"/>
      <c r="G642" s="20"/>
      <c r="M642" s="12"/>
      <c r="N642" s="12"/>
      <c r="O642" s="12"/>
      <c r="U642" s="9"/>
      <c r="V642" s="15"/>
      <c r="W642" s="9"/>
      <c r="X642" s="15"/>
    </row>
    <row r="643" spans="1:24" ht="15.75" customHeight="1">
      <c r="A643" s="2"/>
      <c r="B643" s="9"/>
      <c r="G643" s="20"/>
      <c r="M643" s="12"/>
      <c r="N643" s="12"/>
      <c r="O643" s="12"/>
      <c r="U643" s="9"/>
      <c r="V643" s="15"/>
      <c r="W643" s="9"/>
      <c r="X643" s="15"/>
    </row>
    <row r="644" spans="1:24" ht="15.75" customHeight="1">
      <c r="A644" s="2"/>
      <c r="B644" s="9"/>
      <c r="G644" s="20"/>
      <c r="M644" s="12"/>
      <c r="N644" s="12"/>
      <c r="O644" s="12"/>
      <c r="U644" s="9"/>
      <c r="V644" s="15"/>
      <c r="W644" s="9"/>
      <c r="X644" s="15"/>
    </row>
    <row r="645" spans="1:24" ht="15.75" customHeight="1">
      <c r="A645" s="2"/>
      <c r="B645" s="9"/>
      <c r="G645" s="20"/>
      <c r="M645" s="12"/>
      <c r="N645" s="12"/>
      <c r="O645" s="12"/>
      <c r="U645" s="9"/>
      <c r="V645" s="15"/>
      <c r="W645" s="9"/>
      <c r="X645" s="15"/>
    </row>
    <row r="646" spans="1:24" ht="15.75" customHeight="1">
      <c r="A646" s="2"/>
      <c r="B646" s="9"/>
      <c r="G646" s="20"/>
      <c r="M646" s="12"/>
      <c r="N646" s="12"/>
      <c r="O646" s="12"/>
      <c r="U646" s="9"/>
      <c r="V646" s="15"/>
      <c r="W646" s="9"/>
      <c r="X646" s="15"/>
    </row>
    <row r="647" spans="1:24" ht="15.75" customHeight="1">
      <c r="A647" s="2"/>
      <c r="B647" s="9"/>
      <c r="G647" s="20"/>
      <c r="M647" s="12"/>
      <c r="N647" s="12"/>
      <c r="O647" s="12"/>
      <c r="U647" s="9"/>
      <c r="V647" s="15"/>
      <c r="W647" s="9"/>
      <c r="X647" s="15"/>
    </row>
    <row r="648" spans="1:24" ht="15.75" customHeight="1">
      <c r="A648" s="2"/>
      <c r="B648" s="9"/>
      <c r="G648" s="20"/>
      <c r="M648" s="12"/>
      <c r="N648" s="12"/>
      <c r="O648" s="12"/>
      <c r="U648" s="9"/>
      <c r="V648" s="15"/>
      <c r="W648" s="9"/>
      <c r="X648" s="15"/>
    </row>
    <row r="649" spans="1:24" ht="15.75" customHeight="1">
      <c r="A649" s="2"/>
      <c r="B649" s="9"/>
      <c r="G649" s="20"/>
      <c r="M649" s="12"/>
      <c r="N649" s="12"/>
      <c r="O649" s="12"/>
      <c r="U649" s="9"/>
      <c r="V649" s="15"/>
      <c r="W649" s="9"/>
      <c r="X649" s="15"/>
    </row>
    <row r="650" spans="1:24" ht="15.75" customHeight="1">
      <c r="A650" s="2"/>
      <c r="B650" s="9"/>
      <c r="G650" s="20"/>
      <c r="M650" s="12"/>
      <c r="N650" s="12"/>
      <c r="O650" s="12"/>
      <c r="U650" s="9"/>
      <c r="V650" s="15"/>
      <c r="W650" s="9"/>
      <c r="X650" s="15"/>
    </row>
    <row r="651" spans="1:24" ht="15.75" customHeight="1">
      <c r="A651" s="2"/>
      <c r="B651" s="9"/>
      <c r="G651" s="20"/>
      <c r="M651" s="12"/>
      <c r="N651" s="12"/>
      <c r="O651" s="12"/>
      <c r="U651" s="9"/>
      <c r="V651" s="15"/>
      <c r="W651" s="9"/>
      <c r="X651" s="15"/>
    </row>
    <row r="652" spans="1:24" ht="15.75" customHeight="1">
      <c r="A652" s="2"/>
      <c r="B652" s="9"/>
      <c r="G652" s="20"/>
      <c r="M652" s="12"/>
      <c r="N652" s="12"/>
      <c r="O652" s="12"/>
      <c r="U652" s="9"/>
      <c r="V652" s="15"/>
      <c r="W652" s="9"/>
      <c r="X652" s="15"/>
    </row>
    <row r="653" spans="1:24" ht="15.75" customHeight="1">
      <c r="A653" s="2"/>
      <c r="B653" s="9"/>
      <c r="G653" s="20"/>
      <c r="M653" s="12"/>
      <c r="N653" s="12"/>
      <c r="O653" s="12"/>
      <c r="U653" s="9"/>
      <c r="V653" s="15"/>
      <c r="W653" s="9"/>
      <c r="X653" s="15"/>
    </row>
    <row r="654" spans="1:24" ht="15.75" customHeight="1">
      <c r="A654" s="2"/>
      <c r="B654" s="9"/>
      <c r="G654" s="20"/>
      <c r="M654" s="12"/>
      <c r="N654" s="12"/>
      <c r="O654" s="12"/>
      <c r="U654" s="9"/>
      <c r="V654" s="15"/>
      <c r="W654" s="9"/>
      <c r="X654" s="15"/>
    </row>
    <row r="655" spans="1:24" ht="15.75" customHeight="1">
      <c r="A655" s="2"/>
      <c r="B655" s="9"/>
      <c r="G655" s="20"/>
      <c r="M655" s="12"/>
      <c r="N655" s="12"/>
      <c r="O655" s="12"/>
      <c r="U655" s="9"/>
      <c r="V655" s="15"/>
      <c r="W655" s="9"/>
      <c r="X655" s="15"/>
    </row>
    <row r="656" spans="1:24" ht="15.75" customHeight="1">
      <c r="A656" s="2"/>
      <c r="B656" s="9"/>
      <c r="G656" s="20"/>
      <c r="M656" s="12"/>
      <c r="N656" s="12"/>
      <c r="O656" s="12"/>
      <c r="U656" s="9"/>
      <c r="V656" s="15"/>
      <c r="W656" s="9"/>
      <c r="X656" s="15"/>
    </row>
    <row r="657" spans="1:24" ht="15.75" customHeight="1">
      <c r="A657" s="2"/>
      <c r="B657" s="9"/>
      <c r="G657" s="20"/>
      <c r="M657" s="12"/>
      <c r="N657" s="12"/>
      <c r="O657" s="12"/>
      <c r="U657" s="9"/>
      <c r="V657" s="15"/>
      <c r="W657" s="9"/>
      <c r="X657" s="15"/>
    </row>
    <row r="658" spans="1:24" ht="15.75" customHeight="1">
      <c r="A658" s="2"/>
      <c r="B658" s="9"/>
      <c r="G658" s="20"/>
      <c r="M658" s="12"/>
      <c r="N658" s="12"/>
      <c r="O658" s="12"/>
      <c r="U658" s="9"/>
      <c r="V658" s="15"/>
      <c r="W658" s="9"/>
      <c r="X658" s="15"/>
    </row>
    <row r="659" spans="1:24" ht="15.75" customHeight="1">
      <c r="A659" s="2"/>
      <c r="B659" s="9"/>
      <c r="G659" s="20"/>
      <c r="M659" s="12"/>
      <c r="N659" s="12"/>
      <c r="O659" s="12"/>
      <c r="U659" s="9"/>
      <c r="V659" s="15"/>
      <c r="W659" s="9"/>
      <c r="X659" s="15"/>
    </row>
    <row r="660" spans="1:24" ht="15.75" customHeight="1">
      <c r="A660" s="2"/>
      <c r="B660" s="9"/>
      <c r="G660" s="20"/>
      <c r="M660" s="12"/>
      <c r="N660" s="12"/>
      <c r="O660" s="12"/>
      <c r="U660" s="9"/>
      <c r="V660" s="15"/>
      <c r="W660" s="9"/>
      <c r="X660" s="15"/>
    </row>
    <row r="661" spans="1:24" ht="15.75" customHeight="1">
      <c r="A661" s="2"/>
      <c r="B661" s="9"/>
      <c r="G661" s="20"/>
      <c r="M661" s="12"/>
      <c r="N661" s="12"/>
      <c r="O661" s="12"/>
      <c r="U661" s="9"/>
      <c r="V661" s="15"/>
      <c r="W661" s="9"/>
      <c r="X661" s="15"/>
    </row>
    <row r="662" spans="1:24" ht="15.75" customHeight="1">
      <c r="A662" s="2"/>
      <c r="B662" s="9"/>
      <c r="G662" s="20"/>
      <c r="M662" s="12"/>
      <c r="N662" s="12"/>
      <c r="O662" s="12"/>
      <c r="U662" s="9"/>
      <c r="V662" s="15"/>
      <c r="W662" s="9"/>
      <c r="X662" s="15"/>
    </row>
    <row r="663" spans="1:24" ht="15.75" customHeight="1">
      <c r="A663" s="2"/>
      <c r="B663" s="9"/>
      <c r="G663" s="20"/>
      <c r="M663" s="12"/>
      <c r="N663" s="12"/>
      <c r="O663" s="12"/>
      <c r="U663" s="9"/>
      <c r="V663" s="15"/>
      <c r="W663" s="9"/>
      <c r="X663" s="15"/>
    </row>
    <row r="664" spans="1:24" ht="15.75" customHeight="1">
      <c r="A664" s="2"/>
      <c r="B664" s="9"/>
      <c r="G664" s="20"/>
      <c r="M664" s="12"/>
      <c r="N664" s="12"/>
      <c r="O664" s="12"/>
      <c r="U664" s="9"/>
      <c r="V664" s="15"/>
      <c r="W664" s="9"/>
      <c r="X664" s="15"/>
    </row>
    <row r="665" spans="1:24" ht="15.75" customHeight="1">
      <c r="A665" s="2"/>
      <c r="B665" s="9"/>
      <c r="G665" s="20"/>
      <c r="M665" s="12"/>
      <c r="N665" s="12"/>
      <c r="O665" s="12"/>
      <c r="U665" s="9"/>
      <c r="V665" s="15"/>
      <c r="W665" s="9"/>
      <c r="X665" s="15"/>
    </row>
    <row r="666" spans="1:24" ht="15.75" customHeight="1">
      <c r="A666" s="2"/>
      <c r="B666" s="9"/>
      <c r="G666" s="20"/>
      <c r="M666" s="12"/>
      <c r="N666" s="12"/>
      <c r="O666" s="12"/>
      <c r="U666" s="9"/>
      <c r="V666" s="15"/>
      <c r="W666" s="9"/>
      <c r="X666" s="15"/>
    </row>
    <row r="667" spans="1:24" ht="15.75" customHeight="1">
      <c r="A667" s="2"/>
      <c r="B667" s="9"/>
      <c r="G667" s="20"/>
      <c r="M667" s="12"/>
      <c r="N667" s="12"/>
      <c r="O667" s="12"/>
      <c r="U667" s="9"/>
      <c r="V667" s="15"/>
      <c r="W667" s="9"/>
      <c r="X667" s="15"/>
    </row>
    <row r="668" spans="1:24" ht="15.75" customHeight="1">
      <c r="A668" s="2"/>
      <c r="B668" s="9"/>
      <c r="G668" s="20"/>
      <c r="M668" s="12"/>
      <c r="N668" s="12"/>
      <c r="O668" s="12"/>
      <c r="U668" s="9"/>
      <c r="V668" s="15"/>
      <c r="W668" s="9"/>
      <c r="X668" s="15"/>
    </row>
    <row r="669" spans="1:24" ht="15.75" customHeight="1">
      <c r="A669" s="2"/>
      <c r="B669" s="9"/>
      <c r="G669" s="20"/>
      <c r="M669" s="12"/>
      <c r="N669" s="12"/>
      <c r="O669" s="12"/>
      <c r="U669" s="9"/>
      <c r="V669" s="15"/>
      <c r="W669" s="9"/>
      <c r="X669" s="15"/>
    </row>
    <row r="670" spans="1:24" ht="15.75" customHeight="1">
      <c r="A670" s="2"/>
      <c r="B670" s="9"/>
      <c r="G670" s="20"/>
      <c r="M670" s="12"/>
      <c r="N670" s="12"/>
      <c r="O670" s="12"/>
      <c r="U670" s="9"/>
      <c r="V670" s="15"/>
      <c r="W670" s="9"/>
      <c r="X670" s="15"/>
    </row>
    <row r="671" spans="1:24" ht="15.75" customHeight="1">
      <c r="A671" s="2"/>
      <c r="B671" s="9"/>
      <c r="G671" s="20"/>
      <c r="M671" s="12"/>
      <c r="N671" s="12"/>
      <c r="O671" s="12"/>
      <c r="U671" s="9"/>
      <c r="V671" s="15"/>
      <c r="W671" s="9"/>
      <c r="X671" s="15"/>
    </row>
    <row r="672" spans="1:24" ht="15.75" customHeight="1">
      <c r="A672" s="2"/>
      <c r="B672" s="9"/>
      <c r="G672" s="20"/>
      <c r="M672" s="12"/>
      <c r="N672" s="12"/>
      <c r="O672" s="12"/>
      <c r="U672" s="9"/>
      <c r="V672" s="15"/>
      <c r="W672" s="9"/>
      <c r="X672" s="15"/>
    </row>
    <row r="673" spans="1:24" ht="15.75" customHeight="1">
      <c r="A673" s="2"/>
      <c r="B673" s="9"/>
      <c r="G673" s="20"/>
      <c r="M673" s="12"/>
      <c r="N673" s="12"/>
      <c r="O673" s="12"/>
      <c r="U673" s="9"/>
      <c r="V673" s="15"/>
      <c r="W673" s="9"/>
      <c r="X673" s="15"/>
    </row>
    <row r="674" spans="1:24" ht="15.75" customHeight="1">
      <c r="A674" s="2"/>
      <c r="B674" s="9"/>
      <c r="G674" s="20"/>
      <c r="M674" s="12"/>
      <c r="N674" s="12"/>
      <c r="O674" s="12"/>
      <c r="U674" s="9"/>
      <c r="V674" s="15"/>
      <c r="W674" s="9"/>
      <c r="X674" s="15"/>
    </row>
    <row r="675" spans="1:24" ht="15.75" customHeight="1">
      <c r="A675" s="2"/>
      <c r="B675" s="9"/>
      <c r="G675" s="20"/>
      <c r="M675" s="12"/>
      <c r="N675" s="12"/>
      <c r="O675" s="12"/>
      <c r="U675" s="9"/>
      <c r="V675" s="15"/>
      <c r="W675" s="9"/>
      <c r="X675" s="15"/>
    </row>
    <row r="676" spans="1:24" ht="15.75" customHeight="1">
      <c r="A676" s="2"/>
      <c r="B676" s="9"/>
      <c r="G676" s="20"/>
      <c r="M676" s="12"/>
      <c r="N676" s="12"/>
      <c r="O676" s="12"/>
      <c r="U676" s="9"/>
      <c r="V676" s="15"/>
      <c r="W676" s="9"/>
      <c r="X676" s="15"/>
    </row>
    <row r="677" spans="1:24" ht="15.75" customHeight="1">
      <c r="A677" s="2"/>
      <c r="B677" s="9"/>
      <c r="G677" s="20"/>
      <c r="M677" s="12"/>
      <c r="N677" s="12"/>
      <c r="O677" s="12"/>
      <c r="U677" s="9"/>
      <c r="V677" s="15"/>
      <c r="W677" s="9"/>
      <c r="X677" s="15"/>
    </row>
    <row r="678" spans="1:24" ht="15.75" customHeight="1">
      <c r="A678" s="2"/>
      <c r="B678" s="9"/>
      <c r="G678" s="20"/>
      <c r="M678" s="12"/>
      <c r="N678" s="12"/>
      <c r="O678" s="12"/>
      <c r="U678" s="9"/>
      <c r="V678" s="15"/>
      <c r="W678" s="9"/>
      <c r="X678" s="15"/>
    </row>
    <row r="679" spans="1:24" ht="15.75" customHeight="1">
      <c r="A679" s="2"/>
      <c r="B679" s="9"/>
      <c r="G679" s="20"/>
      <c r="M679" s="12"/>
      <c r="N679" s="12"/>
      <c r="O679" s="12"/>
      <c r="U679" s="9"/>
      <c r="V679" s="15"/>
      <c r="W679" s="9"/>
      <c r="X679" s="15"/>
    </row>
    <row r="680" spans="1:24" ht="15.75" customHeight="1">
      <c r="A680" s="2"/>
      <c r="B680" s="9"/>
      <c r="G680" s="20"/>
      <c r="M680" s="12"/>
      <c r="N680" s="12"/>
      <c r="O680" s="12"/>
      <c r="U680" s="9"/>
      <c r="V680" s="15"/>
      <c r="W680" s="9"/>
      <c r="X680" s="15"/>
    </row>
    <row r="681" spans="1:24" ht="15.75" customHeight="1">
      <c r="A681" s="2"/>
      <c r="B681" s="9"/>
      <c r="G681" s="20"/>
      <c r="M681" s="12"/>
      <c r="N681" s="12"/>
      <c r="O681" s="12"/>
      <c r="U681" s="9"/>
      <c r="V681" s="15"/>
      <c r="W681" s="9"/>
      <c r="X681" s="15"/>
    </row>
    <row r="682" spans="1:24" ht="15.75" customHeight="1">
      <c r="A682" s="2"/>
      <c r="B682" s="9"/>
      <c r="G682" s="20"/>
      <c r="M682" s="12"/>
      <c r="N682" s="12"/>
      <c r="O682" s="12"/>
      <c r="U682" s="9"/>
      <c r="V682" s="15"/>
      <c r="W682" s="9"/>
      <c r="X682" s="15"/>
    </row>
    <row r="683" spans="1:24" ht="15.75" customHeight="1">
      <c r="A683" s="2"/>
      <c r="B683" s="9"/>
      <c r="G683" s="20"/>
      <c r="M683" s="12"/>
      <c r="N683" s="12"/>
      <c r="O683" s="12"/>
      <c r="U683" s="9"/>
      <c r="V683" s="15"/>
      <c r="W683" s="9"/>
      <c r="X683" s="15"/>
    </row>
    <row r="684" spans="1:24" ht="15.75" customHeight="1">
      <c r="A684" s="2"/>
      <c r="B684" s="9"/>
      <c r="G684" s="20"/>
      <c r="M684" s="12"/>
      <c r="N684" s="12"/>
      <c r="O684" s="12"/>
      <c r="U684" s="9"/>
      <c r="V684" s="15"/>
      <c r="W684" s="9"/>
      <c r="X684" s="15"/>
    </row>
  </sheetData>
  <mergeCells count="29">
    <mergeCell ref="K90:L90"/>
    <mergeCell ref="X3:X4"/>
    <mergeCell ref="W3:W4"/>
    <mergeCell ref="U3:U4"/>
    <mergeCell ref="T3:T4"/>
    <mergeCell ref="N14:O14"/>
    <mergeCell ref="P14:Q14"/>
    <mergeCell ref="N15:O15"/>
    <mergeCell ref="P15:Q15"/>
    <mergeCell ref="N16:O16"/>
    <mergeCell ref="P16:Q16"/>
    <mergeCell ref="P3:P4"/>
    <mergeCell ref="Q3:Q4"/>
    <mergeCell ref="K3:O3"/>
    <mergeCell ref="K71:L71"/>
    <mergeCell ref="R3:R4"/>
    <mergeCell ref="S3:S4"/>
    <mergeCell ref="V3:V4"/>
    <mergeCell ref="N13:Q1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</mergeCells>
  <dataValidations count="1">
    <dataValidation type="list" allowBlank="1" showErrorMessage="1" sqref="I5:I9">
      <formula1>"CRMC,BLUERAY,BLUECROMIC,PHOTOCROMIC,KRIPTOK,FLATTOP,PROGRESIVE"</formula1>
    </dataValidation>
  </dataValidations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FEBRUARI-2024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mitsu</dc:creator>
  <cp:lastModifiedBy>LENOVO</cp:lastModifiedBy>
  <dcterms:created xsi:type="dcterms:W3CDTF">2021-12-10T02:57:02Z</dcterms:created>
  <dcterms:modified xsi:type="dcterms:W3CDTF">2024-02-03T16:55:00Z</dcterms:modified>
</cp:coreProperties>
</file>