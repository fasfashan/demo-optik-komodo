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01"/>
  <workbookPr defaultThemeVersion="124226"/>
  <mc:AlternateContent xmlns:mc="http://schemas.openxmlformats.org/markup-compatibility/2006">
    <mc:Choice Requires="x15">
      <x15ac:absPath xmlns:x15ac="http://schemas.microsoft.com/office/spreadsheetml/2010/11/ac" url="E:\ANDRE APRIANTO\"/>
    </mc:Choice>
  </mc:AlternateContent>
  <xr:revisionPtr revIDLastSave="0" documentId="13_ncr:1_{FA7DF17B-B399-41EF-9E9E-326E568F88BC}" xr6:coauthVersionLast="47" xr6:coauthVersionMax="47" xr10:uidLastSave="{00000000-0000-0000-0000-000000000000}"/>
  <bookViews>
    <workbookView xWindow="0" yWindow="0" windowWidth="28800" windowHeight="15600" xr2:uid="{00000000-000D-0000-FFFF-FFFF00000000}"/>
  </bookViews>
  <sheets>
    <sheet name="JANUARI-2024" sheetId="27" r:id="rId1"/>
  </sheets>
  <calcPr calcId="191029"/>
</workbook>
</file>

<file path=xl/calcChain.xml><?xml version="1.0" encoding="utf-8"?>
<calcChain xmlns="http://schemas.openxmlformats.org/spreadsheetml/2006/main">
  <c r="G6" i="27" l="1"/>
  <c r="G7" i="27"/>
  <c r="G8" i="27"/>
  <c r="G9" i="27"/>
  <c r="G10" i="27"/>
  <c r="G11" i="27"/>
  <c r="G12" i="27"/>
  <c r="G13" i="27"/>
  <c r="G14" i="27"/>
  <c r="G15" i="27"/>
  <c r="G16" i="27"/>
  <c r="G17" i="27"/>
  <c r="G18" i="27"/>
  <c r="G19" i="27"/>
  <c r="G20" i="27"/>
  <c r="G21" i="27"/>
  <c r="G22" i="27"/>
  <c r="G23" i="27"/>
  <c r="G24" i="27"/>
  <c r="G25" i="27"/>
  <c r="G26" i="27"/>
  <c r="G27" i="27"/>
  <c r="G28" i="27"/>
  <c r="G29" i="27"/>
  <c r="G30" i="27"/>
  <c r="G31" i="27"/>
  <c r="G32" i="27"/>
  <c r="G33" i="27"/>
  <c r="G34" i="27"/>
  <c r="G35" i="27"/>
  <c r="C52" i="27"/>
  <c r="F42" i="27"/>
  <c r="F36" i="27"/>
  <c r="E36" i="27"/>
  <c r="C40" i="27" s="1"/>
  <c r="D36" i="27"/>
  <c r="C36" i="27"/>
  <c r="B36" i="27"/>
  <c r="G5" i="27"/>
  <c r="C38" i="27" l="1"/>
  <c r="G36" i="27"/>
  <c r="E39" i="27"/>
  <c r="C39" i="27"/>
  <c r="D42" i="27"/>
  <c r="C41" i="27"/>
  <c r="D39" i="27" l="1"/>
  <c r="G42" i="27" s="1"/>
  <c r="C42"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mitsu</author>
  </authors>
  <commentList>
    <comment ref="D6" authorId="0" shapeId="0" xr:uid="{0FFDC8D7-DC83-49FF-AF0B-31F66EA4006F}">
      <text>
        <r>
          <rPr>
            <b/>
            <sz val="9"/>
            <color indexed="81"/>
            <rFont val="Tahoma"/>
            <charset val="1"/>
          </rPr>
          <t>mitsu:</t>
        </r>
        <r>
          <rPr>
            <sz val="9"/>
            <color indexed="81"/>
            <rFont val="Tahoma"/>
            <charset val="1"/>
          </rPr>
          <t xml:space="preserve">
11764 300.000 QR</t>
        </r>
      </text>
    </comment>
    <comment ref="E6" authorId="0" shapeId="0" xr:uid="{D4A6E35D-55C0-4831-BC17-4C5F14881206}">
      <text>
        <r>
          <rPr>
            <b/>
            <sz val="9"/>
            <color indexed="81"/>
            <rFont val="Tahoma"/>
            <charset val="1"/>
          </rPr>
          <t>mitsu:</t>
        </r>
        <r>
          <rPr>
            <sz val="9"/>
            <color indexed="81"/>
            <rFont val="Tahoma"/>
            <charset val="1"/>
          </rPr>
          <t xml:space="preserve">
KAS 2X 100.000
KOTAK 200.000</t>
        </r>
      </text>
    </comment>
    <comment ref="D7" authorId="0" shapeId="0" xr:uid="{E7EF7037-2D05-48FA-892D-02029458D218}">
      <text>
        <r>
          <rPr>
            <b/>
            <sz val="9"/>
            <color indexed="81"/>
            <rFont val="Tahoma"/>
            <charset val="1"/>
          </rPr>
          <t>mitsu:</t>
        </r>
        <r>
          <rPr>
            <sz val="9"/>
            <color indexed="81"/>
            <rFont val="Tahoma"/>
            <charset val="1"/>
          </rPr>
          <t xml:space="preserve">
11783 150.000 QR
11785 440.000 QR
11787 400.000 QR
11789 600.000 QR
11790 500.000 QR
11720 75.000 QR</t>
        </r>
      </text>
    </comment>
    <comment ref="E7" authorId="0" shapeId="0" xr:uid="{B8DB7295-603B-4A9B-8B06-7E2ACB1C1330}">
      <text>
        <r>
          <rPr>
            <b/>
            <sz val="9"/>
            <color indexed="81"/>
            <rFont val="Tahoma"/>
            <charset val="1"/>
          </rPr>
          <t>mitsu:</t>
        </r>
        <r>
          <rPr>
            <sz val="9"/>
            <color indexed="81"/>
            <rFont val="Tahoma"/>
            <charset val="1"/>
          </rPr>
          <t xml:space="preserve">
SEDERHANA 228.000
KAS 50.000</t>
        </r>
      </text>
    </comment>
    <comment ref="F7" authorId="0" shapeId="0" xr:uid="{C8805919-D7EA-460E-8ACE-474C28B32924}">
      <text>
        <r>
          <rPr>
            <b/>
            <sz val="9"/>
            <color indexed="81"/>
            <rFont val="Tahoma"/>
            <charset val="1"/>
          </rPr>
          <t>mitsu:</t>
        </r>
        <r>
          <rPr>
            <sz val="9"/>
            <color indexed="81"/>
            <rFont val="Tahoma"/>
            <charset val="1"/>
          </rPr>
          <t xml:space="preserve">
OBAT 200.000</t>
        </r>
      </text>
    </comment>
    <comment ref="D8" authorId="0" shapeId="0" xr:uid="{430FA9DD-3EE5-4C31-BAC7-0B3083EA5BEC}">
      <text>
        <r>
          <rPr>
            <b/>
            <sz val="9"/>
            <color indexed="81"/>
            <rFont val="Tahoma"/>
            <charset val="1"/>
          </rPr>
          <t>mitsu:</t>
        </r>
        <r>
          <rPr>
            <sz val="9"/>
            <color indexed="81"/>
            <rFont val="Tahoma"/>
            <charset val="1"/>
          </rPr>
          <t xml:space="preserve">
11676 300.000 qr</t>
        </r>
      </text>
    </comment>
    <comment ref="E8" authorId="0" shapeId="0" xr:uid="{E20ADA65-4E96-4BCA-99F2-29A61474BCC6}">
      <text>
        <r>
          <rPr>
            <b/>
            <sz val="9"/>
            <color indexed="81"/>
            <rFont val="Tahoma"/>
            <charset val="1"/>
          </rPr>
          <t>mitsu:</t>
        </r>
        <r>
          <rPr>
            <sz val="9"/>
            <color indexed="81"/>
            <rFont val="Tahoma"/>
            <charset val="1"/>
          </rPr>
          <t xml:space="preserve">
ongkos bpjs 50.000
pendi 300.000
kas 50.000</t>
        </r>
      </text>
    </comment>
    <comment ref="D9" authorId="0" shapeId="0" xr:uid="{1DC2FDE8-CBE1-425E-A363-8CDD8F9167F5}">
      <text>
        <r>
          <rPr>
            <b/>
            <sz val="9"/>
            <color indexed="81"/>
            <rFont val="Tahoma"/>
            <charset val="1"/>
          </rPr>
          <t>mitsu:</t>
        </r>
        <r>
          <rPr>
            <sz val="9"/>
            <color indexed="81"/>
            <rFont val="Tahoma"/>
            <charset val="1"/>
          </rPr>
          <t xml:space="preserve">
11804 300.000 edc
11809 1.200.000 qr
11820 55.000 qr</t>
        </r>
      </text>
    </comment>
    <comment ref="E9" authorId="0" shapeId="0" xr:uid="{B5F5CFBC-D3DE-45D3-A0A3-8267B4B8A271}">
      <text>
        <r>
          <rPr>
            <b/>
            <sz val="9"/>
            <color indexed="81"/>
            <rFont val="Tahoma"/>
            <charset val="1"/>
          </rPr>
          <t>mitsu:</t>
        </r>
        <r>
          <rPr>
            <sz val="9"/>
            <color indexed="81"/>
            <rFont val="Tahoma"/>
            <charset val="1"/>
          </rPr>
          <t xml:space="preserve">
sampah 150.000
doni 200.000
kas 50.000</t>
        </r>
      </text>
    </comment>
    <comment ref="D10" authorId="0" shapeId="0" xr:uid="{481392E5-AE7B-44FC-88A8-C6394F994E39}">
      <text>
        <r>
          <rPr>
            <b/>
            <sz val="9"/>
            <color indexed="81"/>
            <rFont val="Tahoma"/>
            <charset val="1"/>
          </rPr>
          <t>mitsu:</t>
        </r>
        <r>
          <rPr>
            <sz val="9"/>
            <color indexed="81"/>
            <rFont val="Tahoma"/>
            <charset val="1"/>
          </rPr>
          <t xml:space="preserve">
11828 150.000 qr
11829 200.000 qr
11834 150.000 qr
11761 50.000 qr
11736 150.000 qr
11735 150.000 qr
</t>
        </r>
      </text>
    </comment>
    <comment ref="E10" authorId="0" shapeId="0" xr:uid="{17F6FFF7-9192-4CA7-9548-A6AB2C8ADE62}">
      <text>
        <r>
          <rPr>
            <b/>
            <sz val="9"/>
            <color indexed="81"/>
            <rFont val="Tahoma"/>
            <charset val="1"/>
          </rPr>
          <t>mitsu:</t>
        </r>
        <r>
          <rPr>
            <sz val="9"/>
            <color indexed="81"/>
            <rFont val="Tahoma"/>
            <charset val="1"/>
          </rPr>
          <t xml:space="preserve">
kas 50.000
doni 200.000</t>
        </r>
      </text>
    </comment>
    <comment ref="E11" authorId="0" shapeId="0" xr:uid="{0EBA6C13-B08B-4754-959F-BA5C13B3EAD0}">
      <text>
        <r>
          <rPr>
            <b/>
            <sz val="9"/>
            <color indexed="81"/>
            <rFont val="Tahoma"/>
            <charset val="1"/>
          </rPr>
          <t>mitsu:</t>
        </r>
        <r>
          <rPr>
            <sz val="9"/>
            <color indexed="81"/>
            <rFont val="Tahoma"/>
            <charset val="1"/>
          </rPr>
          <t xml:space="preserve">
kas 50.000
doni 200.000
pendi 300.000
ilham ipin 200.000</t>
        </r>
      </text>
    </comment>
    <comment ref="D12" authorId="0" shapeId="0" xr:uid="{AFE62225-B21F-4CA8-80FC-F52A36E44446}">
      <text>
        <r>
          <rPr>
            <b/>
            <sz val="9"/>
            <color indexed="81"/>
            <rFont val="Tahoma"/>
            <charset val="1"/>
          </rPr>
          <t>mitsu:</t>
        </r>
        <r>
          <rPr>
            <sz val="9"/>
            <color indexed="81"/>
            <rFont val="Tahoma"/>
            <charset val="1"/>
          </rPr>
          <t xml:space="preserve">
11865 350.000 qr
11737 270.000 edc
11738 270.000 edc</t>
        </r>
      </text>
    </comment>
    <comment ref="E12" authorId="0" shapeId="0" xr:uid="{11B0925A-37E4-4931-90CF-F602C19744AD}">
      <text>
        <r>
          <rPr>
            <b/>
            <sz val="9"/>
            <color indexed="81"/>
            <rFont val="Tahoma"/>
            <charset val="1"/>
          </rPr>
          <t>mitsu:</t>
        </r>
        <r>
          <rPr>
            <sz val="9"/>
            <color indexed="81"/>
            <rFont val="Tahoma"/>
            <charset val="1"/>
          </rPr>
          <t xml:space="preserve">
eka 180.000
kas 50.000</t>
        </r>
      </text>
    </comment>
    <comment ref="F12" authorId="0" shapeId="0" xr:uid="{C575BC5A-24D4-4A47-86C3-BFB420B5B12F}">
      <text>
        <r>
          <rPr>
            <b/>
            <sz val="9"/>
            <color indexed="81"/>
            <rFont val="Tahoma"/>
            <charset val="1"/>
          </rPr>
          <t>mitsu:</t>
        </r>
        <r>
          <rPr>
            <sz val="9"/>
            <color indexed="81"/>
            <rFont val="Tahoma"/>
            <charset val="1"/>
          </rPr>
          <t xml:space="preserve">
grab akbar 20.000</t>
        </r>
      </text>
    </comment>
    <comment ref="D13" authorId="0" shapeId="0" xr:uid="{6E86E9A2-0FD8-49DE-A6B6-CF1F3E351D1D}">
      <text>
        <r>
          <rPr>
            <b/>
            <sz val="9"/>
            <color indexed="81"/>
            <rFont val="Tahoma"/>
            <charset val="1"/>
          </rPr>
          <t>mitsu:</t>
        </r>
        <r>
          <rPr>
            <sz val="9"/>
            <color indexed="81"/>
            <rFont val="Tahoma"/>
            <charset val="1"/>
          </rPr>
          <t xml:space="preserve">
11881 500.000 edc</t>
        </r>
      </text>
    </comment>
    <comment ref="E13" authorId="0" shapeId="0" xr:uid="{F5BDEB2D-73FB-4305-A0B4-5A170567FAE1}">
      <text>
        <r>
          <rPr>
            <b/>
            <sz val="9"/>
            <color indexed="81"/>
            <rFont val="Tahoma"/>
            <charset val="1"/>
          </rPr>
          <t>mitsu:</t>
        </r>
        <r>
          <rPr>
            <sz val="9"/>
            <color indexed="81"/>
            <rFont val="Tahoma"/>
            <charset val="1"/>
          </rPr>
          <t xml:space="preserve">
dp nota 300.000
aqua 20.000
bpjs kes 500.000
kas 50.000</t>
        </r>
      </text>
    </comment>
    <comment ref="D14" authorId="0" shapeId="0" xr:uid="{8C01559B-4A9C-48D2-A113-64F03AB36F00}">
      <text>
        <r>
          <rPr>
            <b/>
            <sz val="9"/>
            <color indexed="81"/>
            <rFont val="Tahoma"/>
            <charset val="1"/>
          </rPr>
          <t>mitsu:</t>
        </r>
        <r>
          <rPr>
            <sz val="9"/>
            <color indexed="81"/>
            <rFont val="Tahoma"/>
            <charset val="1"/>
          </rPr>
          <t xml:space="preserve">
11883 150.000 edc
11891 220.000 qr
11764 130.000 qr
11891 150.000 qr</t>
        </r>
      </text>
    </comment>
    <comment ref="E14" authorId="0" shapeId="0" xr:uid="{CA44BE17-10FB-43EC-99DE-6AE895341E1B}">
      <text>
        <r>
          <rPr>
            <b/>
            <sz val="9"/>
            <color indexed="81"/>
            <rFont val="Tahoma"/>
            <charset val="1"/>
          </rPr>
          <t>mitsu:</t>
        </r>
        <r>
          <rPr>
            <sz val="9"/>
            <color indexed="81"/>
            <rFont val="Tahoma"/>
            <charset val="1"/>
          </rPr>
          <t xml:space="preserve">
rt 30.000
aqua 20.000
bpjs kes 1.000.000
kas 50.000</t>
        </r>
      </text>
    </comment>
    <comment ref="F14" authorId="0" shapeId="0" xr:uid="{B2728326-DF09-4662-A8A5-CD738E278156}">
      <text>
        <r>
          <rPr>
            <b/>
            <sz val="9"/>
            <color indexed="81"/>
            <rFont val="Tahoma"/>
            <charset val="1"/>
          </rPr>
          <t>mitsu:</t>
        </r>
        <r>
          <rPr>
            <sz val="9"/>
            <color indexed="81"/>
            <rFont val="Tahoma"/>
            <charset val="1"/>
          </rPr>
          <t xml:space="preserve">
grab akbar 21.000
tetes mata 35.000</t>
        </r>
      </text>
    </comment>
    <comment ref="D15" authorId="0" shapeId="0" xr:uid="{97D1BEAF-1C27-4BE2-BB9D-D42B971C6A8F}">
      <text>
        <r>
          <rPr>
            <b/>
            <sz val="9"/>
            <color indexed="81"/>
            <rFont val="Tahoma"/>
            <charset val="1"/>
          </rPr>
          <t>mitsu:</t>
        </r>
        <r>
          <rPr>
            <sz val="9"/>
            <color indexed="81"/>
            <rFont val="Tahoma"/>
            <charset val="1"/>
          </rPr>
          <t xml:space="preserve">
11894 300.000 edc
11659 300.000 qr
11762 350.000 qr</t>
        </r>
      </text>
    </comment>
    <comment ref="E15" authorId="0" shapeId="0" xr:uid="{9468D043-0421-4EAC-ADDA-C709EECFFAAF}">
      <text>
        <r>
          <rPr>
            <b/>
            <sz val="9"/>
            <color indexed="81"/>
            <rFont val="Tahoma"/>
            <charset val="1"/>
          </rPr>
          <t>mitsu:</t>
        </r>
        <r>
          <rPr>
            <sz val="9"/>
            <color indexed="81"/>
            <rFont val="Tahoma"/>
            <charset val="1"/>
          </rPr>
          <t xml:space="preserve">
kas 50.000</t>
        </r>
      </text>
    </comment>
    <comment ref="D16" authorId="0" shapeId="0" xr:uid="{B1E88966-7FF8-46AA-92FF-763B52CD4725}">
      <text>
        <r>
          <rPr>
            <b/>
            <sz val="9"/>
            <color indexed="81"/>
            <rFont val="Tahoma"/>
            <charset val="1"/>
          </rPr>
          <t>mitsu:</t>
        </r>
        <r>
          <rPr>
            <sz val="9"/>
            <color indexed="81"/>
            <rFont val="Tahoma"/>
            <charset val="1"/>
          </rPr>
          <t xml:space="preserve">
11902 200.000 qr</t>
        </r>
      </text>
    </comment>
    <comment ref="E16" authorId="0" shapeId="0" xr:uid="{89D4D097-3E4B-400F-83A4-BAB609C74B6B}">
      <text>
        <r>
          <rPr>
            <b/>
            <sz val="9"/>
            <color indexed="81"/>
            <rFont val="Tahoma"/>
            <charset val="1"/>
          </rPr>
          <t>mitsu:</t>
        </r>
        <r>
          <rPr>
            <sz val="9"/>
            <color indexed="81"/>
            <rFont val="Tahoma"/>
            <charset val="1"/>
          </rPr>
          <t xml:space="preserve">
kas 50.000
nota 250.000</t>
        </r>
      </text>
    </comment>
    <comment ref="D17" authorId="0" shapeId="0" xr:uid="{5A13CFC3-D320-4D33-ADE3-59CC13F61AAD}">
      <text>
        <r>
          <rPr>
            <b/>
            <sz val="9"/>
            <color indexed="81"/>
            <rFont val="Tahoma"/>
            <charset val="1"/>
          </rPr>
          <t>mitsu:</t>
        </r>
        <r>
          <rPr>
            <sz val="9"/>
            <color indexed="81"/>
            <rFont val="Tahoma"/>
            <charset val="1"/>
          </rPr>
          <t xml:space="preserve">
11923 200.000 edc
11927 150.000 qr
11931 750.000 qr
11824 200.000 qr
11760 270.000 qr</t>
        </r>
      </text>
    </comment>
    <comment ref="E17" authorId="0" shapeId="0" xr:uid="{4597DAC0-1FC7-41A9-94AD-E60036F19364}">
      <text>
        <r>
          <rPr>
            <b/>
            <sz val="9"/>
            <color indexed="81"/>
            <rFont val="Tahoma"/>
            <charset val="1"/>
          </rPr>
          <t>mitsu:</t>
        </r>
        <r>
          <rPr>
            <sz val="9"/>
            <color indexed="81"/>
            <rFont val="Tahoma"/>
            <charset val="1"/>
          </rPr>
          <t xml:space="preserve">
kas 50.000</t>
        </r>
      </text>
    </comment>
    <comment ref="D18" authorId="0" shapeId="0" xr:uid="{8E2DD1CA-CA49-48BE-972D-3A331CCFE285}">
      <text>
        <r>
          <rPr>
            <b/>
            <sz val="9"/>
            <color indexed="81"/>
            <rFont val="Tahoma"/>
            <charset val="1"/>
          </rPr>
          <t>mitsu:</t>
        </r>
        <r>
          <rPr>
            <sz val="9"/>
            <color indexed="81"/>
            <rFont val="Tahoma"/>
            <charset val="1"/>
          </rPr>
          <t xml:space="preserve">
11937 350.000 qr
11940 150.000 tf
11941 250.000 tf
11942 200.000 tf
11834 500.000 qr</t>
        </r>
      </text>
    </comment>
    <comment ref="E18" authorId="0" shapeId="0" xr:uid="{A75EDD8D-3A78-4B03-A200-42A01685431A}">
      <text>
        <r>
          <rPr>
            <b/>
            <sz val="9"/>
            <color indexed="81"/>
            <rFont val="Tahoma"/>
            <charset val="1"/>
          </rPr>
          <t>mitsu:</t>
        </r>
        <r>
          <rPr>
            <sz val="9"/>
            <color indexed="81"/>
            <rFont val="Tahoma"/>
            <charset val="1"/>
          </rPr>
          <t xml:space="preserve">
trio macan 300.000</t>
        </r>
      </text>
    </comment>
    <comment ref="E19" authorId="0" shapeId="0" xr:uid="{399B738C-37E2-45DB-BB71-33067C0D3ACC}">
      <text>
        <r>
          <rPr>
            <b/>
            <sz val="9"/>
            <color indexed="81"/>
            <rFont val="Tahoma"/>
            <charset val="1"/>
          </rPr>
          <t>mitsu:</t>
        </r>
        <r>
          <rPr>
            <sz val="9"/>
            <color indexed="81"/>
            <rFont val="Tahoma"/>
            <charset val="1"/>
          </rPr>
          <t xml:space="preserve">
eka 180.000
pensi 300.000</t>
        </r>
      </text>
    </comment>
    <comment ref="D20" authorId="0" shapeId="0" xr:uid="{0A418BF3-4692-46B4-8E3B-AF0F09EF87BD}">
      <text>
        <r>
          <rPr>
            <b/>
            <sz val="9"/>
            <color indexed="81"/>
            <rFont val="Tahoma"/>
            <charset val="1"/>
          </rPr>
          <t>mitsu:</t>
        </r>
        <r>
          <rPr>
            <sz val="9"/>
            <color indexed="81"/>
            <rFont val="Tahoma"/>
            <charset val="1"/>
          </rPr>
          <t xml:space="preserve">
11856 1.200.000 qr</t>
        </r>
      </text>
    </comment>
    <comment ref="E20" authorId="0" shapeId="0" xr:uid="{D607B34F-A66F-4B19-9637-7014F236FA20}">
      <text>
        <r>
          <rPr>
            <b/>
            <sz val="9"/>
            <color indexed="81"/>
            <rFont val="Tahoma"/>
            <charset val="1"/>
          </rPr>
          <t>mitsu:</t>
        </r>
        <r>
          <rPr>
            <sz val="9"/>
            <color indexed="81"/>
            <rFont val="Tahoma"/>
            <charset val="1"/>
          </rPr>
          <t xml:space="preserve">
kas 3x 150.000
matrai 48.000
plastik dan tisu 94.000
aqua 20.000
</t>
        </r>
      </text>
    </comment>
    <comment ref="F20" authorId="0" shapeId="0" xr:uid="{F93F89EC-6D00-4421-B83E-787FC29C13C3}">
      <text>
        <r>
          <rPr>
            <b/>
            <sz val="9"/>
            <color indexed="81"/>
            <rFont val="Tahoma"/>
            <charset val="1"/>
          </rPr>
          <t>mitsu:</t>
        </r>
        <r>
          <rPr>
            <sz val="9"/>
            <color indexed="81"/>
            <rFont val="Tahoma"/>
            <charset val="1"/>
          </rPr>
          <t xml:space="preserve">
roti 50.000</t>
        </r>
      </text>
    </comment>
    <comment ref="D21" authorId="0" shapeId="0" xr:uid="{8DF01E3D-E4E5-446B-8A6A-DE0C86620EEF}">
      <text>
        <r>
          <rPr>
            <b/>
            <sz val="9"/>
            <color indexed="81"/>
            <rFont val="Tahoma"/>
            <charset val="1"/>
          </rPr>
          <t>mitsu:</t>
        </r>
        <r>
          <rPr>
            <sz val="9"/>
            <color indexed="81"/>
            <rFont val="Tahoma"/>
            <charset val="1"/>
          </rPr>
          <t xml:space="preserve">
11978 450.000 qr
11980 150.000 qr</t>
        </r>
      </text>
    </comment>
    <comment ref="F21" authorId="0" shapeId="0" xr:uid="{331EFE9E-6E79-4865-9B07-9DA2340F439A}">
      <text>
        <r>
          <rPr>
            <b/>
            <sz val="9"/>
            <color indexed="81"/>
            <rFont val="Tahoma"/>
            <charset val="1"/>
          </rPr>
          <t>mitsu:</t>
        </r>
        <r>
          <rPr>
            <sz val="9"/>
            <color indexed="81"/>
            <rFont val="Tahoma"/>
            <charset val="1"/>
          </rPr>
          <t xml:space="preserve">
ibu 50.000</t>
        </r>
      </text>
    </comment>
    <comment ref="D22" authorId="0" shapeId="0" xr:uid="{39776812-0F3A-4D63-8E31-177036154CDC}">
      <text>
        <r>
          <rPr>
            <b/>
            <sz val="9"/>
            <color indexed="81"/>
            <rFont val="Tahoma"/>
            <charset val="1"/>
          </rPr>
          <t>mitsu:</t>
        </r>
        <r>
          <rPr>
            <sz val="9"/>
            <color indexed="81"/>
            <rFont val="Tahoma"/>
            <charset val="1"/>
          </rPr>
          <t xml:space="preserve">
11960 450.000 qr
11989 350.000 edc
11990 150.000 qr
11994 375.000 qr
11995 375.000 qr</t>
        </r>
      </text>
    </comment>
    <comment ref="E22" authorId="0" shapeId="0" xr:uid="{A86700FD-D89B-476D-A8B5-4CA4F0CA29DC}">
      <text>
        <r>
          <rPr>
            <b/>
            <sz val="9"/>
            <color indexed="81"/>
            <rFont val="Tahoma"/>
            <charset val="1"/>
          </rPr>
          <t>mitsu:</t>
        </r>
        <r>
          <rPr>
            <sz val="9"/>
            <color indexed="81"/>
            <rFont val="Tahoma"/>
            <charset val="1"/>
          </rPr>
          <t xml:space="preserve">
kas 2x 100.000
amplop 15.000</t>
        </r>
      </text>
    </comment>
    <comment ref="D23" authorId="0" shapeId="0" xr:uid="{03C77EEF-C37B-492F-9D3C-D3734480D3F4}">
      <text>
        <r>
          <rPr>
            <b/>
            <sz val="9"/>
            <color indexed="81"/>
            <rFont val="Tahoma"/>
            <charset val="1"/>
          </rPr>
          <t>mitsu:</t>
        </r>
        <r>
          <rPr>
            <sz val="9"/>
            <color indexed="81"/>
            <rFont val="Tahoma"/>
            <charset val="1"/>
          </rPr>
          <t xml:space="preserve">
12008 100.000 qr
12009 125.000 qr</t>
        </r>
      </text>
    </comment>
    <comment ref="D24" authorId="0" shapeId="0" xr:uid="{F40C0876-0F78-4AC1-9CBF-ED6044BAA8DF}">
      <text>
        <r>
          <rPr>
            <b/>
            <sz val="9"/>
            <color indexed="81"/>
            <rFont val="Tahoma"/>
            <charset val="1"/>
          </rPr>
          <t>mitsu:</t>
        </r>
        <r>
          <rPr>
            <sz val="9"/>
            <color indexed="81"/>
            <rFont val="Tahoma"/>
            <charset val="1"/>
          </rPr>
          <t xml:space="preserve">
12022 150.000 qr
11884 200.000 edc
11679 1.450.000 qr
11990 150.000 qr
</t>
        </r>
      </text>
    </comment>
    <comment ref="E24" authorId="0" shapeId="0" xr:uid="{74913D62-8B69-4ADF-90B0-CBD2A44E2392}">
      <text>
        <r>
          <rPr>
            <b/>
            <sz val="9"/>
            <color indexed="81"/>
            <rFont val="Tahoma"/>
            <charset val="1"/>
          </rPr>
          <t>mitsu:</t>
        </r>
        <r>
          <rPr>
            <sz val="9"/>
            <color indexed="81"/>
            <rFont val="Tahoma"/>
            <charset val="1"/>
          </rPr>
          <t xml:space="preserve">
juju 100.000</t>
        </r>
      </text>
    </comment>
    <comment ref="D25" authorId="0" shapeId="0" xr:uid="{61C8C02D-C42F-40FC-A870-4B4CBB4F8DA6}">
      <text>
        <r>
          <rPr>
            <b/>
            <sz val="9"/>
            <color indexed="81"/>
            <rFont val="Tahoma"/>
            <charset val="1"/>
          </rPr>
          <t>mitsu:</t>
        </r>
        <r>
          <rPr>
            <sz val="9"/>
            <color indexed="81"/>
            <rFont val="Tahoma"/>
            <charset val="1"/>
          </rPr>
          <t xml:space="preserve">
12028 850.000 tf</t>
        </r>
      </text>
    </comment>
    <comment ref="E25" authorId="0" shapeId="0" xr:uid="{607F707C-8565-427D-86F6-87EF66C8B0E1}">
      <text>
        <r>
          <rPr>
            <b/>
            <sz val="9"/>
            <color indexed="81"/>
            <rFont val="Tahoma"/>
            <charset val="1"/>
          </rPr>
          <t>mitsu:</t>
        </r>
        <r>
          <rPr>
            <sz val="9"/>
            <color indexed="81"/>
            <rFont val="Tahoma"/>
            <charset val="1"/>
          </rPr>
          <t xml:space="preserve">
kas 2x 100.000
pak doni 200.000</t>
        </r>
      </text>
    </comment>
    <comment ref="D26" authorId="0" shapeId="0" xr:uid="{6706B1AF-4884-4B8C-98AC-FEDC85904171}">
      <text>
        <r>
          <rPr>
            <b/>
            <sz val="9"/>
            <color indexed="81"/>
            <rFont val="Tahoma"/>
            <charset val="1"/>
          </rPr>
          <t>mitsu:</t>
        </r>
        <r>
          <rPr>
            <sz val="9"/>
            <color indexed="81"/>
            <rFont val="Tahoma"/>
            <charset val="1"/>
          </rPr>
          <t xml:space="preserve">
12030 300.000 EDC
12035 200.000 QR
12039 350.000 QR
11922 155.000 QR
</t>
        </r>
      </text>
    </comment>
    <comment ref="E26" authorId="0" shapeId="0" xr:uid="{602670CE-46CD-49DA-9F6C-62EAA9C1DB5D}">
      <text>
        <r>
          <rPr>
            <b/>
            <sz val="9"/>
            <color indexed="81"/>
            <rFont val="Tahoma"/>
            <charset val="1"/>
          </rPr>
          <t>mitsu:</t>
        </r>
        <r>
          <rPr>
            <sz val="9"/>
            <color indexed="81"/>
            <rFont val="Tahoma"/>
            <charset val="1"/>
          </rPr>
          <t xml:space="preserve">
RAPAT 200.000
ELOK TANDO 234.000
LEMINERAL 40.000
KAS 2X 100.000
IPIN, JUJU, ILHAN 300.000</t>
        </r>
      </text>
    </comment>
    <comment ref="E27" authorId="0" shapeId="0" xr:uid="{6B529BF2-41A3-400C-9D76-785A2C9949AC}">
      <text>
        <r>
          <rPr>
            <b/>
            <sz val="9"/>
            <color indexed="81"/>
            <rFont val="Tahoma"/>
            <charset val="1"/>
          </rPr>
          <t>mitsu:</t>
        </r>
        <r>
          <rPr>
            <sz val="9"/>
            <color indexed="81"/>
            <rFont val="Tahoma"/>
            <charset val="1"/>
          </rPr>
          <t xml:space="preserve">
atk 178.500
aqua 20.000
fendi 300.000
eka 180.000</t>
        </r>
      </text>
    </comment>
    <comment ref="D28" authorId="0" shapeId="0" xr:uid="{7087A0AD-A1CD-4A20-B490-2B011FB70BC9}">
      <text>
        <r>
          <rPr>
            <b/>
            <sz val="9"/>
            <color indexed="81"/>
            <rFont val="Tahoma"/>
            <charset val="1"/>
          </rPr>
          <t>mitsu:</t>
        </r>
        <r>
          <rPr>
            <sz val="9"/>
            <color indexed="81"/>
            <rFont val="Tahoma"/>
            <charset val="1"/>
          </rPr>
          <t xml:space="preserve">
12069 500.000 qr
12070 330.000 qr
11881 1.000.000 qr</t>
        </r>
      </text>
    </comment>
    <comment ref="D29" authorId="0" shapeId="0" xr:uid="{0AF59952-5C91-4D6B-8B57-162E8DB3BCFB}">
      <text>
        <r>
          <rPr>
            <b/>
            <sz val="9"/>
            <color indexed="81"/>
            <rFont val="Tahoma"/>
            <charset val="1"/>
          </rPr>
          <t>mitsu:</t>
        </r>
        <r>
          <rPr>
            <sz val="9"/>
            <color indexed="81"/>
            <rFont val="Tahoma"/>
            <charset val="1"/>
          </rPr>
          <t xml:space="preserve">
11520 270.000 edc
12018 200.000 qr</t>
        </r>
      </text>
    </comment>
    <comment ref="F29" authorId="0" shapeId="0" xr:uid="{6DCD638B-DB8F-4C58-A6CF-EF7FDAD6311E}">
      <text>
        <r>
          <rPr>
            <b/>
            <sz val="9"/>
            <color indexed="81"/>
            <rFont val="Tahoma"/>
            <charset val="1"/>
          </rPr>
          <t>mitsu:</t>
        </r>
        <r>
          <rPr>
            <sz val="9"/>
            <color indexed="81"/>
            <rFont val="Tahoma"/>
            <charset val="1"/>
          </rPr>
          <t xml:space="preserve">
grab akbar 22.000</t>
        </r>
      </text>
    </comment>
    <comment ref="D30" authorId="0" shapeId="0" xr:uid="{11CE1003-3315-41AD-94E6-FC81256C8EBF}">
      <text>
        <r>
          <rPr>
            <b/>
            <sz val="9"/>
            <color indexed="81"/>
            <rFont val="Tahoma"/>
            <charset val="1"/>
          </rPr>
          <t>mitsu:</t>
        </r>
        <r>
          <rPr>
            <sz val="9"/>
            <color indexed="81"/>
            <rFont val="Tahoma"/>
            <charset val="1"/>
          </rPr>
          <t xml:space="preserve">
11954 320.000 tf bsi</t>
        </r>
      </text>
    </comment>
    <comment ref="E30" authorId="0" shapeId="0" xr:uid="{CDBD071C-0125-4352-B8C1-3E2E0DE5D130}">
      <text>
        <r>
          <rPr>
            <b/>
            <sz val="9"/>
            <color indexed="81"/>
            <rFont val="Tahoma"/>
            <charset val="1"/>
          </rPr>
          <t>mitsu:</t>
        </r>
        <r>
          <rPr>
            <sz val="9"/>
            <color indexed="81"/>
            <rFont val="Tahoma"/>
            <charset val="1"/>
          </rPr>
          <t xml:space="preserve">
sales 150.000
aqua 20.000</t>
        </r>
      </text>
    </comment>
    <comment ref="F30" authorId="0" shapeId="0" xr:uid="{EF632906-E809-4307-B45C-170F898B6C75}">
      <text>
        <r>
          <rPr>
            <b/>
            <sz val="9"/>
            <color indexed="81"/>
            <rFont val="Tahoma"/>
            <charset val="1"/>
          </rPr>
          <t>mitsu:</t>
        </r>
        <r>
          <rPr>
            <sz val="9"/>
            <color indexed="81"/>
            <rFont val="Tahoma"/>
            <charset val="1"/>
          </rPr>
          <t xml:space="preserve">
ibu 20.000</t>
        </r>
      </text>
    </comment>
    <comment ref="D31" authorId="0" shapeId="0" xr:uid="{48592431-342F-43F9-AA4E-860E163EB0EF}">
      <text>
        <r>
          <rPr>
            <b/>
            <sz val="9"/>
            <color indexed="81"/>
            <rFont val="Tahoma"/>
            <charset val="1"/>
          </rPr>
          <t>mitsu:</t>
        </r>
        <r>
          <rPr>
            <sz val="9"/>
            <color indexed="81"/>
            <rFont val="Tahoma"/>
            <charset val="1"/>
          </rPr>
          <t xml:space="preserve">
12098 330.000 tf bca
12107 270.000 edc
12114 370.000 qr
12116 700.000 qr
12118 1.000.000 qr
12120 600.000 edc
12121 800.000 edc
12122 200.000 edc
12128 150.000 edc
12129 150.000 edc
12130 270.000 edc</t>
        </r>
      </text>
    </comment>
    <comment ref="E31" authorId="0" shapeId="0" xr:uid="{95BDFB06-9800-43FA-A796-A55788E3D9DF}">
      <text>
        <r>
          <rPr>
            <b/>
            <sz val="9"/>
            <color indexed="81"/>
            <rFont val="Tahoma"/>
            <charset val="1"/>
          </rPr>
          <t>mitsu:</t>
        </r>
        <r>
          <rPr>
            <sz val="9"/>
            <color indexed="81"/>
            <rFont val="Tahoma"/>
            <charset val="1"/>
          </rPr>
          <t xml:space="preserve">
doni 200.000</t>
        </r>
      </text>
    </comment>
    <comment ref="D32" authorId="0" shapeId="0" xr:uid="{9468CFC9-D480-4DEC-BDB5-11F5EE7007B0}">
      <text>
        <r>
          <rPr>
            <b/>
            <sz val="9"/>
            <color indexed="81"/>
            <rFont val="Tahoma"/>
            <charset val="1"/>
          </rPr>
          <t>mitsu:</t>
        </r>
        <r>
          <rPr>
            <sz val="9"/>
            <color indexed="81"/>
            <rFont val="Tahoma"/>
            <charset val="1"/>
          </rPr>
          <t xml:space="preserve">
12137 650.000 tf
12077 150.000 tf</t>
        </r>
      </text>
    </comment>
    <comment ref="E32" authorId="0" shapeId="0" xr:uid="{9A50EB8B-DC65-434A-B26B-FBD80FE3B7AC}">
      <text>
        <r>
          <rPr>
            <b/>
            <sz val="9"/>
            <color indexed="81"/>
            <rFont val="Tahoma"/>
            <charset val="1"/>
          </rPr>
          <t>mitsu:</t>
        </r>
        <r>
          <rPr>
            <sz val="9"/>
            <color indexed="81"/>
            <rFont val="Tahoma"/>
            <charset val="1"/>
          </rPr>
          <t xml:space="preserve">
doni 200.000
pendi 300.000
ipin, juju 200.000</t>
        </r>
      </text>
    </comment>
    <comment ref="E33" authorId="0" shapeId="0" xr:uid="{3965F55D-8BED-4516-AED0-BF2754113E89}">
      <text>
        <r>
          <rPr>
            <b/>
            <sz val="9"/>
            <color indexed="81"/>
            <rFont val="Tahoma"/>
            <charset val="1"/>
          </rPr>
          <t>mitsu:</t>
        </r>
        <r>
          <rPr>
            <sz val="9"/>
            <color indexed="81"/>
            <rFont val="Tahoma"/>
            <charset val="1"/>
          </rPr>
          <t xml:space="preserve">
aqua 20.000
makanan 2x 100.000
sabtu 150.000
ilham 100.000
fc 50.000
token masjid 200.000</t>
        </r>
      </text>
    </comment>
    <comment ref="D34" authorId="0" shapeId="0" xr:uid="{BFE6BA39-BE82-49AC-81B3-FE0367A710C5}">
      <text>
        <r>
          <rPr>
            <b/>
            <sz val="9"/>
            <color indexed="81"/>
            <rFont val="Tahoma"/>
            <charset val="1"/>
          </rPr>
          <t>mitsu:</t>
        </r>
        <r>
          <rPr>
            <sz val="9"/>
            <color indexed="81"/>
            <rFont val="Tahoma"/>
            <charset val="1"/>
          </rPr>
          <t xml:space="preserve">
12157 600.000 qr
12168 150.000 qr
12126 130.000 qr</t>
        </r>
      </text>
    </comment>
    <comment ref="E34" authorId="0" shapeId="0" xr:uid="{C0E36F1C-6416-45E1-873C-0325EE79FAB0}">
      <text>
        <r>
          <rPr>
            <b/>
            <sz val="9"/>
            <color indexed="81"/>
            <rFont val="Tahoma"/>
            <charset val="1"/>
          </rPr>
          <t>mitsu:</t>
        </r>
        <r>
          <rPr>
            <sz val="9"/>
            <color indexed="81"/>
            <rFont val="Tahoma"/>
            <charset val="1"/>
          </rPr>
          <t xml:space="preserve">
eka 180.000
</t>
        </r>
      </text>
    </comment>
    <comment ref="F34" authorId="0" shapeId="0" xr:uid="{114BAC96-A686-4FBD-A699-D3A853D924D2}">
      <text>
        <r>
          <rPr>
            <b/>
            <sz val="9"/>
            <color indexed="81"/>
            <rFont val="Tahoma"/>
            <charset val="1"/>
          </rPr>
          <t>mitsu:</t>
        </r>
        <r>
          <rPr>
            <sz val="9"/>
            <color indexed="81"/>
            <rFont val="Tahoma"/>
            <charset val="1"/>
          </rPr>
          <t xml:space="preserve">
gado2 15.000
jeruk 25.000
pepaya 10.000</t>
        </r>
      </text>
    </comment>
    <comment ref="D35" authorId="0" shapeId="0" xr:uid="{ECF35D9B-2F3A-4C5E-922D-D185893F7DE0}">
      <text>
        <r>
          <rPr>
            <b/>
            <sz val="9"/>
            <color indexed="81"/>
            <rFont val="Tahoma"/>
            <charset val="1"/>
          </rPr>
          <t>mitsu:</t>
        </r>
        <r>
          <rPr>
            <sz val="9"/>
            <color indexed="81"/>
            <rFont val="Tahoma"/>
            <charset val="1"/>
          </rPr>
          <t xml:space="preserve">
12179 150.000 qr
12180 150.000 qr
12132 100.000 qr
12133 350.000 qr</t>
        </r>
      </text>
    </comment>
  </commentList>
</comments>
</file>

<file path=xl/sharedStrings.xml><?xml version="1.0" encoding="utf-8"?>
<sst xmlns="http://schemas.openxmlformats.org/spreadsheetml/2006/main" count="34" uniqueCount="28">
  <si>
    <t>LAPORAN BULANAN</t>
  </si>
  <si>
    <t>TGL</t>
  </si>
  <si>
    <t>BPJS</t>
  </si>
  <si>
    <t>PENGELUARAN OPTIK</t>
  </si>
  <si>
    <t>JUMLAH</t>
  </si>
  <si>
    <t>TOTAL TOKO &amp; BPJS</t>
  </si>
  <si>
    <t>TOTAL EDC</t>
  </si>
  <si>
    <t>TOTAL DLL</t>
  </si>
  <si>
    <t>TOTAL PENGELUARAN OPTIK</t>
  </si>
  <si>
    <t>PENGELUARAN BULANAN</t>
  </si>
  <si>
    <t>PENGELUARAN IBU</t>
  </si>
  <si>
    <t>1. GAJI KARYAWAN</t>
  </si>
  <si>
    <t>2. BPJS KESEHATAN</t>
  </si>
  <si>
    <t>3. BPJS KETENAGAKERJAAN</t>
  </si>
  <si>
    <t>4. LISTRIK</t>
  </si>
  <si>
    <t>5. WIFI</t>
  </si>
  <si>
    <t>6.TELOKM</t>
  </si>
  <si>
    <t>SISA</t>
  </si>
  <si>
    <t>EDC/TF</t>
  </si>
  <si>
    <t xml:space="preserve">SISA </t>
  </si>
  <si>
    <t xml:space="preserve"> </t>
  </si>
  <si>
    <t xml:space="preserve">   </t>
  </si>
  <si>
    <t>KAS</t>
  </si>
  <si>
    <t>PERIODE JANUARI 2024</t>
  </si>
  <si>
    <t>TOTAL TRANSAKSI</t>
  </si>
  <si>
    <t>TOTAL PENGAMBILAN</t>
  </si>
  <si>
    <t>TOTAL BANK</t>
  </si>
  <si>
    <t>PAKET BPJS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</si>
</sst>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p&quot;* #,##0.00_-;\-&quot;Rp&quot;* #,##0.00_-;_-&quot;Rp&quot;* &quot;-&quot;??_-;_-@_-"/>
    <numFmt numFmtId="164" formatCode="_-&quot;Rp&quot;* #,##0_-;\-&quot;Rp&quot;* #,##0_-;_-&quot;Rp&quot;* &quot;-&quot;??_-;_-@_-"/>
    <numFmt numFmtId="165" formatCode="&quot;Rp&quot;#,##0"/>
  </numFmts>
  <fonts count="4" x14ac:knownFonts="1">
    <font>
      <sz val="11"/>
      <color theme="1"/>
      <name val="Calibri"/>
      <family val="2"/>
      <charset val="1"/>
      <scheme val="minor"/>
    </font>
    <font>
      <b/>
      <sz val="11"/>
      <color theme="1"/>
      <name val="Calibri"/>
      <family val="2"/>
      <scheme val="minor"/>
    </font>
    <font>
      <sz val="9"/>
      <color indexed="81"/>
      <name val="Tahoma"/>
      <charset val="1"/>
    </font>
    <font>
      <b/>
      <sz val="9"/>
      <color indexed="81"/>
      <name val="Tahoma"/>
      <charset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13">
    <xf numFmtId="0" fontId="0" fillId="0" borderId="0" xfId="0"/>
    <xf numFmtId="0" fontId="1" fillId="0" borderId="0" xfId="0" applyFont="1"/>
    <xf numFmtId="0" fontId="1" fillId="0" borderId="1" xfId="0" applyFont="1" applyBorder="1" applyAlignment="1">
      <alignment horizontal="center"/>
    </xf>
    <xf numFmtId="0" fontId="1" fillId="0" borderId="0" xfId="0" applyFont="1" applyAlignment="1">
      <alignment horizontal="center"/>
    </xf>
    <xf numFmtId="164" fontId="1" fillId="0" borderId="0" xfId="0" applyNumberFormat="1" applyFont="1"/>
    <xf numFmtId="164" fontId="1" fillId="0" borderId="1" xfId="0" applyNumberFormat="1" applyFont="1" applyBorder="1"/>
    <xf numFmtId="164" fontId="0" fillId="0" borderId="0" xfId="0" applyNumberFormat="1"/>
    <xf numFmtId="0" fontId="1" fillId="0" borderId="1" xfId="0" applyFont="1" applyBorder="1" applyAlignment="1">
      <alignment horizontal="center" vertical="center"/>
    </xf>
    <xf numFmtId="14" fontId="1" fillId="0" borderId="1" xfId="0" applyNumberFormat="1" applyFont="1" applyBorder="1"/>
    <xf numFmtId="165" fontId="0" fillId="0" borderId="0" xfId="0" applyNumberFormat="1"/>
    <xf numFmtId="44" fontId="1" fillId="0" borderId="0" xfId="0" applyNumberFormat="1" applyFont="1"/>
    <xf numFmtId="164" fontId="1" fillId="0" borderId="2" xfId="0" applyNumberFormat="1" applyFont="1" applyBorder="1"/>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6</xdr:col>
      <xdr:colOff>762000</xdr:colOff>
      <xdr:row>37</xdr:row>
      <xdr:rowOff>161925</xdr:rowOff>
    </xdr:from>
    <xdr:ext cx="2496709" cy="264560"/>
    <xdr:sp macro="" textlink="">
      <xdr:nvSpPr>
        <xdr:cNvPr id="2" name="TextBox 1">
          <a:extLst>
            <a:ext uri="{FF2B5EF4-FFF2-40B4-BE49-F238E27FC236}">
              <a16:creationId xmlns:a16="http://schemas.microsoft.com/office/drawing/2014/main" id="{3969AC09-9921-EFC4-A649-5BBEA53545BE}"/>
            </a:ext>
          </a:extLst>
        </xdr:cNvPr>
        <xdr:cNvSpPr txBox="1"/>
      </xdr:nvSpPr>
      <xdr:spPr>
        <a:xfrm>
          <a:off x="7886700" y="7210425"/>
          <a:ext cx="2496709" cy="2645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lang="id-ID" sz="1100"/>
            <a:t>berdasarkan</a:t>
          </a:r>
          <a:r>
            <a:rPr lang="id-ID" sz="1100" baseline="0"/>
            <a:t> pendapatan bpjs tiap bulan</a:t>
          </a:r>
          <a:endParaRPr lang="id-ID" sz="1100"/>
        </a:p>
      </xdr:txBody>
    </xdr:sp>
    <xdr:clientData/>
  </xdr:oneCellAnchor>
  <xdr:twoCellAnchor>
    <xdr:from>
      <xdr:col>5</xdr:col>
      <xdr:colOff>1323975</xdr:colOff>
      <xdr:row>38</xdr:row>
      <xdr:rowOff>0</xdr:rowOff>
    </xdr:from>
    <xdr:to>
      <xdr:col>6</xdr:col>
      <xdr:colOff>685800</xdr:colOff>
      <xdr:row>38</xdr:row>
      <xdr:rowOff>123825</xdr:rowOff>
    </xdr:to>
    <xdr:sp macro="" textlink="">
      <xdr:nvSpPr>
        <xdr:cNvPr id="4" name="Arrow: Left 3">
          <a:extLst>
            <a:ext uri="{FF2B5EF4-FFF2-40B4-BE49-F238E27FC236}">
              <a16:creationId xmlns:a16="http://schemas.microsoft.com/office/drawing/2014/main" id="{50847D23-7F00-1CA3-EE00-84E0038A90BB}"/>
            </a:ext>
          </a:extLst>
        </xdr:cNvPr>
        <xdr:cNvSpPr/>
      </xdr:nvSpPr>
      <xdr:spPr>
        <a:xfrm>
          <a:off x="7115175" y="7239000"/>
          <a:ext cx="695325" cy="123825"/>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oneCellAnchor>
    <xdr:from>
      <xdr:col>3</xdr:col>
      <xdr:colOff>1247775</xdr:colOff>
      <xdr:row>44</xdr:row>
      <xdr:rowOff>85725</xdr:rowOff>
    </xdr:from>
    <xdr:ext cx="4795736" cy="264560"/>
    <xdr:sp macro="" textlink="">
      <xdr:nvSpPr>
        <xdr:cNvPr id="6" name="TextBox 5">
          <a:extLst>
            <a:ext uri="{FF2B5EF4-FFF2-40B4-BE49-F238E27FC236}">
              <a16:creationId xmlns:a16="http://schemas.microsoft.com/office/drawing/2014/main" id="{341AB68F-FBEB-4AB7-9982-D615D35EC871}"/>
            </a:ext>
          </a:extLst>
        </xdr:cNvPr>
        <xdr:cNvSpPr txBox="1"/>
      </xdr:nvSpPr>
      <xdr:spPr>
        <a:xfrm>
          <a:off x="4676775" y="8467725"/>
          <a:ext cx="4795736" cy="2645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lang="id-ID" sz="1100"/>
            <a:t>total</a:t>
          </a:r>
          <a:r>
            <a:rPr lang="id-ID" sz="1100" baseline="0"/>
            <a:t> </a:t>
          </a:r>
          <a:r>
            <a:rPr lang="id-ID" sz="1100"/>
            <a:t>berdasarkan</a:t>
          </a:r>
          <a:r>
            <a:rPr lang="id-ID" sz="1100" baseline="0"/>
            <a:t> pembuatan lensa kriptok dengan total harga dibawah 265.000</a:t>
          </a:r>
          <a:endParaRPr lang="id-ID" sz="1100"/>
        </a:p>
      </xdr:txBody>
    </xdr:sp>
    <xdr:clientData/>
  </xdr:oneCellAnchor>
  <xdr:twoCellAnchor>
    <xdr:from>
      <xdr:col>4</xdr:col>
      <xdr:colOff>830127</xdr:colOff>
      <xdr:row>41</xdr:row>
      <xdr:rowOff>148745</xdr:rowOff>
    </xdr:from>
    <xdr:to>
      <xdr:col>4</xdr:col>
      <xdr:colOff>1026182</xdr:colOff>
      <xdr:row>44</xdr:row>
      <xdr:rowOff>72518</xdr:rowOff>
    </xdr:to>
    <xdr:sp macro="" textlink="">
      <xdr:nvSpPr>
        <xdr:cNvPr id="7" name="Arrow: Left 6">
          <a:extLst>
            <a:ext uri="{FF2B5EF4-FFF2-40B4-BE49-F238E27FC236}">
              <a16:creationId xmlns:a16="http://schemas.microsoft.com/office/drawing/2014/main" id="{38EF4775-CD8F-4F66-A99C-17EE97300665}"/>
            </a:ext>
          </a:extLst>
        </xdr:cNvPr>
        <xdr:cNvSpPr/>
      </xdr:nvSpPr>
      <xdr:spPr>
        <a:xfrm rot="4534440">
          <a:off x="5423968" y="8108854"/>
          <a:ext cx="495273" cy="196055"/>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390F5-0819-4A61-AB1B-A5611DD88910}">
  <sheetPr>
    <pageSetUpPr fitToPage="1"/>
  </sheetPr>
  <dimension ref="A1:M78"/>
  <sheetViews>
    <sheetView tabSelected="1" workbookViewId="0">
      <selection activeCell="E55" sqref="E55"/>
    </sheetView>
  </sheetViews>
  <sheetFormatPr defaultRowHeight="15" x14ac:dyDescent="0.25"/>
  <cols>
    <col min="1" max="1" width="12.140625" customWidth="1"/>
    <col min="2" max="2" width="18" customWidth="1"/>
    <col min="3" max="3" width="21.28515625" customWidth="1"/>
    <col min="4" max="4" width="19.7109375" customWidth="1"/>
    <col min="5" max="5" width="20" customWidth="1"/>
    <col min="6" max="6" width="23.42578125" customWidth="1"/>
    <col min="7" max="7" width="17.5703125" customWidth="1"/>
    <col min="8" max="9" width="19.42578125" customWidth="1"/>
    <col min="10" max="10" width="23.85546875" customWidth="1"/>
    <col min="11" max="11" width="19.7109375" customWidth="1"/>
    <col min="13" max="13" width="17.28515625" style="9" bestFit="1" customWidth="1"/>
  </cols>
  <sheetData>
    <row r="1" spans="1:13" x14ac:dyDescent="0.25">
      <c r="A1" s="1" t="s">
        <v>0</v>
      </c>
      <c r="B1" s="1"/>
      <c r="M1"/>
    </row>
    <row r="2" spans="1:13" x14ac:dyDescent="0.25">
      <c r="A2" s="1" t="s">
        <v>23</v>
      </c>
      <c r="B2" s="1"/>
      <c r="M2"/>
    </row>
    <row r="3" spans="1:13" x14ac:dyDescent="0.25">
      <c r="M3"/>
    </row>
    <row r="4" spans="1:13" s="3" customFormat="1" x14ac:dyDescent="0.25">
      <c r="A4" s="2" t="s">
        <v>1</v>
      </c>
      <c r="B4" s="2" t="s">
        <v>24</v>
      </c>
      <c r="C4" s="2" t="s">
        <v>25</v>
      </c>
      <c r="D4" s="2" t="s">
        <v>26</v>
      </c>
      <c r="E4" s="2" t="s">
        <v>3</v>
      </c>
      <c r="F4" s="2" t="s">
        <v>10</v>
      </c>
      <c r="G4" s="2" t="s">
        <v>4</v>
      </c>
    </row>
    <row r="5" spans="1:13" x14ac:dyDescent="0.25">
      <c r="A5" s="8">
        <v>45292</v>
      </c>
      <c r="B5" s="5">
        <v>0</v>
      </c>
      <c r="C5" s="5">
        <v>0</v>
      </c>
      <c r="D5" s="5">
        <v>0</v>
      </c>
      <c r="E5" s="5">
        <v>0</v>
      </c>
      <c r="F5" s="5">
        <v>0</v>
      </c>
      <c r="G5" s="5">
        <f>SUM(B5+C5-D5-E5-F5)</f>
        <v>0</v>
      </c>
      <c r="M5"/>
    </row>
    <row r="6" spans="1:13" x14ac:dyDescent="0.25">
      <c r="A6" s="8">
        <v>45293</v>
      </c>
      <c r="B6" s="5">
        <v>100000</v>
      </c>
      <c r="C6" s="5">
        <v>1345000</v>
      </c>
      <c r="D6" s="5">
        <v>300000</v>
      </c>
      <c r="E6" s="5">
        <v>300000</v>
      </c>
      <c r="F6" s="5">
        <v>0</v>
      </c>
      <c r="G6" s="5">
        <f t="shared" ref="G6:G35" si="0">SUM(B6+C6-D6-E6-F6)</f>
        <v>845000</v>
      </c>
      <c r="J6" s="11"/>
      <c r="M6"/>
    </row>
    <row r="7" spans="1:13" x14ac:dyDescent="0.25">
      <c r="A7" s="8">
        <v>45294</v>
      </c>
      <c r="B7" s="5">
        <v>810000</v>
      </c>
      <c r="C7" s="5">
        <v>3210000</v>
      </c>
      <c r="D7" s="5">
        <v>2165000</v>
      </c>
      <c r="E7" s="5">
        <v>278000</v>
      </c>
      <c r="F7" s="5">
        <v>200000</v>
      </c>
      <c r="G7" s="5">
        <f t="shared" si="0"/>
        <v>1377000</v>
      </c>
      <c r="J7" s="4"/>
      <c r="M7"/>
    </row>
    <row r="8" spans="1:13" x14ac:dyDescent="0.25">
      <c r="A8" s="8">
        <v>45295</v>
      </c>
      <c r="B8" s="5">
        <v>1585000</v>
      </c>
      <c r="C8" s="5">
        <v>925000</v>
      </c>
      <c r="D8" s="5">
        <v>300000</v>
      </c>
      <c r="E8" s="5">
        <v>400000</v>
      </c>
      <c r="F8" s="5">
        <v>0</v>
      </c>
      <c r="G8" s="5">
        <f t="shared" si="0"/>
        <v>1810000</v>
      </c>
      <c r="J8" s="4"/>
      <c r="M8"/>
    </row>
    <row r="9" spans="1:13" x14ac:dyDescent="0.25">
      <c r="A9" s="8">
        <v>45296</v>
      </c>
      <c r="B9" s="5">
        <v>765000</v>
      </c>
      <c r="C9" s="5">
        <v>3210000</v>
      </c>
      <c r="D9" s="5">
        <v>1555000</v>
      </c>
      <c r="E9" s="5">
        <v>400000</v>
      </c>
      <c r="F9" s="5">
        <v>0</v>
      </c>
      <c r="G9" s="5">
        <f t="shared" si="0"/>
        <v>2020000</v>
      </c>
      <c r="J9" s="4"/>
      <c r="M9"/>
    </row>
    <row r="10" spans="1:13" x14ac:dyDescent="0.25">
      <c r="A10" s="8">
        <v>45297</v>
      </c>
      <c r="B10" s="5">
        <v>1455000</v>
      </c>
      <c r="C10" s="5">
        <v>1250000</v>
      </c>
      <c r="D10" s="5">
        <v>1150000</v>
      </c>
      <c r="E10" s="5">
        <v>250000</v>
      </c>
      <c r="F10" s="5">
        <v>0</v>
      </c>
      <c r="G10" s="5">
        <f t="shared" si="0"/>
        <v>1305000</v>
      </c>
      <c r="J10" s="4"/>
      <c r="M10"/>
    </row>
    <row r="11" spans="1:13" x14ac:dyDescent="0.25">
      <c r="A11" s="8">
        <v>45298</v>
      </c>
      <c r="B11" s="5">
        <v>490000</v>
      </c>
      <c r="C11" s="5">
        <v>1200000</v>
      </c>
      <c r="D11" s="5">
        <v>0</v>
      </c>
      <c r="E11" s="5">
        <v>750000</v>
      </c>
      <c r="F11" s="5">
        <v>0</v>
      </c>
      <c r="G11" s="5">
        <f t="shared" si="0"/>
        <v>940000</v>
      </c>
      <c r="J11" s="4"/>
      <c r="M11"/>
    </row>
    <row r="12" spans="1:13" x14ac:dyDescent="0.25">
      <c r="A12" s="8">
        <v>45299</v>
      </c>
      <c r="B12" s="5">
        <v>3140000</v>
      </c>
      <c r="C12" s="5">
        <v>1760000</v>
      </c>
      <c r="D12" s="5">
        <v>890000</v>
      </c>
      <c r="E12" s="5">
        <v>230000</v>
      </c>
      <c r="F12" s="5">
        <v>20000</v>
      </c>
      <c r="G12" s="5">
        <f t="shared" si="0"/>
        <v>3760000</v>
      </c>
      <c r="J12" s="4"/>
      <c r="M12"/>
    </row>
    <row r="13" spans="1:13" x14ac:dyDescent="0.25">
      <c r="A13" s="8">
        <v>45300</v>
      </c>
      <c r="B13" s="5">
        <v>250000</v>
      </c>
      <c r="C13" s="5">
        <v>1650000</v>
      </c>
      <c r="D13" s="5">
        <v>500000</v>
      </c>
      <c r="E13" s="5">
        <v>870000</v>
      </c>
      <c r="F13" s="5">
        <v>0</v>
      </c>
      <c r="G13" s="5">
        <f t="shared" si="0"/>
        <v>530000</v>
      </c>
      <c r="J13" s="4"/>
      <c r="M13"/>
    </row>
    <row r="14" spans="1:13" x14ac:dyDescent="0.25">
      <c r="A14" s="8">
        <v>45301</v>
      </c>
      <c r="B14" s="5">
        <v>1630000</v>
      </c>
      <c r="C14" s="5">
        <v>1075000</v>
      </c>
      <c r="D14" s="5">
        <v>650000</v>
      </c>
      <c r="E14" s="5">
        <v>1100000</v>
      </c>
      <c r="F14" s="5">
        <v>56000</v>
      </c>
      <c r="G14" s="5">
        <f t="shared" si="0"/>
        <v>899000</v>
      </c>
      <c r="J14" s="4"/>
      <c r="M14"/>
    </row>
    <row r="15" spans="1:13" x14ac:dyDescent="0.25">
      <c r="A15" s="8">
        <v>45302</v>
      </c>
      <c r="B15" s="5">
        <v>1490000</v>
      </c>
      <c r="C15" s="5">
        <v>950000</v>
      </c>
      <c r="D15" s="5">
        <v>950000</v>
      </c>
      <c r="E15" s="5">
        <v>50000</v>
      </c>
      <c r="F15" s="5">
        <v>0</v>
      </c>
      <c r="G15" s="5">
        <f t="shared" si="0"/>
        <v>1440000</v>
      </c>
      <c r="J15" s="4"/>
      <c r="M15"/>
    </row>
    <row r="16" spans="1:13" x14ac:dyDescent="0.25">
      <c r="A16" s="8">
        <v>45303</v>
      </c>
      <c r="B16" s="5">
        <v>1875000</v>
      </c>
      <c r="C16" s="5">
        <v>1860000</v>
      </c>
      <c r="D16" s="5">
        <v>200000</v>
      </c>
      <c r="E16" s="5">
        <v>300000</v>
      </c>
      <c r="F16" s="5">
        <v>0</v>
      </c>
      <c r="G16" s="5">
        <f t="shared" si="0"/>
        <v>3235000</v>
      </c>
      <c r="J16" s="4"/>
      <c r="M16"/>
    </row>
    <row r="17" spans="1:13" x14ac:dyDescent="0.25">
      <c r="A17" s="8">
        <v>45304</v>
      </c>
      <c r="B17" s="5">
        <v>1170000</v>
      </c>
      <c r="C17" s="5">
        <v>2955000</v>
      </c>
      <c r="D17" s="5">
        <v>1570000</v>
      </c>
      <c r="E17" s="5">
        <v>50000</v>
      </c>
      <c r="F17" s="5">
        <v>0</v>
      </c>
      <c r="G17" s="5">
        <f t="shared" si="0"/>
        <v>2505000</v>
      </c>
      <c r="J17" s="6"/>
      <c r="M17"/>
    </row>
    <row r="18" spans="1:13" x14ac:dyDescent="0.25">
      <c r="A18" s="8">
        <v>45305</v>
      </c>
      <c r="B18" s="5">
        <v>950000</v>
      </c>
      <c r="C18" s="5">
        <v>1020000</v>
      </c>
      <c r="D18" s="5">
        <v>1450000</v>
      </c>
      <c r="E18" s="5">
        <v>300000</v>
      </c>
      <c r="F18" s="5">
        <v>0</v>
      </c>
      <c r="G18" s="5">
        <f t="shared" si="0"/>
        <v>220000</v>
      </c>
      <c r="M18"/>
    </row>
    <row r="19" spans="1:13" x14ac:dyDescent="0.25">
      <c r="A19" s="8">
        <v>45306</v>
      </c>
      <c r="B19" s="5">
        <v>270000</v>
      </c>
      <c r="C19" s="5">
        <v>1900000</v>
      </c>
      <c r="D19" s="5">
        <v>0</v>
      </c>
      <c r="E19" s="5">
        <v>480000</v>
      </c>
      <c r="F19" s="5">
        <v>0</v>
      </c>
      <c r="G19" s="5">
        <f t="shared" si="0"/>
        <v>1690000</v>
      </c>
      <c r="M19"/>
    </row>
    <row r="20" spans="1:13" x14ac:dyDescent="0.25">
      <c r="A20" s="8">
        <v>45307</v>
      </c>
      <c r="B20" s="5">
        <v>2590000</v>
      </c>
      <c r="C20" s="5">
        <v>670000</v>
      </c>
      <c r="D20" s="5">
        <v>1200000</v>
      </c>
      <c r="E20" s="5">
        <v>312000</v>
      </c>
      <c r="F20" s="5">
        <v>50000</v>
      </c>
      <c r="G20" s="5">
        <f t="shared" si="0"/>
        <v>1698000</v>
      </c>
      <c r="J20" t="s">
        <v>21</v>
      </c>
      <c r="M20"/>
    </row>
    <row r="21" spans="1:13" x14ac:dyDescent="0.25">
      <c r="A21" s="8">
        <v>45308</v>
      </c>
      <c r="B21" s="5">
        <v>340000</v>
      </c>
      <c r="C21" s="5">
        <v>750000</v>
      </c>
      <c r="D21" s="5">
        <v>600000</v>
      </c>
      <c r="E21" s="5">
        <v>0</v>
      </c>
      <c r="F21" s="5">
        <v>50000</v>
      </c>
      <c r="G21" s="5">
        <f t="shared" si="0"/>
        <v>440000</v>
      </c>
      <c r="M21"/>
    </row>
    <row r="22" spans="1:13" x14ac:dyDescent="0.25">
      <c r="A22" s="8">
        <v>45309</v>
      </c>
      <c r="B22" s="5">
        <v>1000000</v>
      </c>
      <c r="C22" s="5">
        <v>1920000</v>
      </c>
      <c r="D22" s="5">
        <v>1700000</v>
      </c>
      <c r="E22" s="5">
        <v>115000</v>
      </c>
      <c r="F22" s="5">
        <v>0</v>
      </c>
      <c r="G22" s="5">
        <f t="shared" si="0"/>
        <v>1105000</v>
      </c>
      <c r="M22"/>
    </row>
    <row r="23" spans="1:13" x14ac:dyDescent="0.25">
      <c r="A23" s="8">
        <v>45310</v>
      </c>
      <c r="B23" s="5">
        <v>200000</v>
      </c>
      <c r="C23" s="5">
        <v>225000</v>
      </c>
      <c r="D23" s="5">
        <v>225000</v>
      </c>
      <c r="E23" s="5">
        <v>0</v>
      </c>
      <c r="F23" s="5">
        <v>0</v>
      </c>
      <c r="G23" s="5">
        <f t="shared" si="0"/>
        <v>200000</v>
      </c>
      <c r="M23"/>
    </row>
    <row r="24" spans="1:13" x14ac:dyDescent="0.25">
      <c r="A24" s="8">
        <v>45311</v>
      </c>
      <c r="B24" s="5">
        <v>3645000</v>
      </c>
      <c r="C24" s="5">
        <v>1480000</v>
      </c>
      <c r="D24" s="5">
        <v>1800000</v>
      </c>
      <c r="E24" s="5">
        <v>100000</v>
      </c>
      <c r="F24" s="5">
        <v>0</v>
      </c>
      <c r="G24" s="5">
        <f t="shared" si="0"/>
        <v>3225000</v>
      </c>
      <c r="M24"/>
    </row>
    <row r="25" spans="1:13" x14ac:dyDescent="0.25">
      <c r="A25" s="8">
        <v>45312</v>
      </c>
      <c r="B25" s="5">
        <v>400000</v>
      </c>
      <c r="C25" s="5">
        <v>1050000</v>
      </c>
      <c r="D25" s="5">
        <v>850000</v>
      </c>
      <c r="E25" s="5">
        <v>300000</v>
      </c>
      <c r="F25" s="5">
        <v>0</v>
      </c>
      <c r="G25" s="5">
        <f t="shared" si="0"/>
        <v>300000</v>
      </c>
      <c r="M25"/>
    </row>
    <row r="26" spans="1:13" x14ac:dyDescent="0.25">
      <c r="A26" s="8">
        <v>45313</v>
      </c>
      <c r="B26" s="5">
        <v>1955000</v>
      </c>
      <c r="C26" s="5">
        <v>1050000</v>
      </c>
      <c r="D26" s="5">
        <v>1005000</v>
      </c>
      <c r="E26" s="5">
        <v>874000</v>
      </c>
      <c r="F26" s="5">
        <v>0</v>
      </c>
      <c r="G26" s="5">
        <f t="shared" si="0"/>
        <v>1126000</v>
      </c>
      <c r="M26"/>
    </row>
    <row r="27" spans="1:13" x14ac:dyDescent="0.25">
      <c r="A27" s="8">
        <v>45314</v>
      </c>
      <c r="B27" s="5">
        <v>250000</v>
      </c>
      <c r="C27" s="5">
        <v>1250000</v>
      </c>
      <c r="D27" s="5">
        <v>0</v>
      </c>
      <c r="E27" s="5">
        <v>678500</v>
      </c>
      <c r="F27" s="5">
        <v>0</v>
      </c>
      <c r="G27" s="5">
        <f t="shared" si="0"/>
        <v>821500</v>
      </c>
      <c r="J27" t="s">
        <v>20</v>
      </c>
      <c r="M27"/>
    </row>
    <row r="28" spans="1:13" x14ac:dyDescent="0.25">
      <c r="A28" s="8">
        <v>45315</v>
      </c>
      <c r="B28" s="5">
        <v>1200000</v>
      </c>
      <c r="C28" s="5">
        <v>2235000</v>
      </c>
      <c r="D28" s="5">
        <v>1830000</v>
      </c>
      <c r="E28" s="5">
        <v>0</v>
      </c>
      <c r="F28" s="5">
        <v>0</v>
      </c>
      <c r="G28" s="5">
        <f t="shared" si="0"/>
        <v>1605000</v>
      </c>
      <c r="M28"/>
    </row>
    <row r="29" spans="1:13" x14ac:dyDescent="0.25">
      <c r="A29" s="8">
        <v>45316</v>
      </c>
      <c r="B29" s="5">
        <v>1240000</v>
      </c>
      <c r="C29" s="5">
        <v>100000</v>
      </c>
      <c r="D29" s="5">
        <v>470000</v>
      </c>
      <c r="E29" s="5">
        <v>0</v>
      </c>
      <c r="F29" s="5">
        <v>22000</v>
      </c>
      <c r="G29" s="5">
        <f t="shared" si="0"/>
        <v>848000</v>
      </c>
      <c r="M29"/>
    </row>
    <row r="30" spans="1:13" x14ac:dyDescent="0.25">
      <c r="A30" s="8">
        <v>45317</v>
      </c>
      <c r="B30" s="5">
        <v>320000</v>
      </c>
      <c r="C30" s="5">
        <v>1000000</v>
      </c>
      <c r="D30" s="5">
        <v>320000</v>
      </c>
      <c r="E30" s="5">
        <v>170000</v>
      </c>
      <c r="F30" s="5">
        <v>20000</v>
      </c>
      <c r="G30" s="5">
        <f t="shared" si="0"/>
        <v>810000</v>
      </c>
      <c r="J30" s="6"/>
      <c r="M30"/>
    </row>
    <row r="31" spans="1:13" x14ac:dyDescent="0.25">
      <c r="A31" s="8">
        <v>45318</v>
      </c>
      <c r="B31" s="5">
        <v>1620000</v>
      </c>
      <c r="C31" s="5">
        <v>7175000</v>
      </c>
      <c r="D31" s="5">
        <v>4840000</v>
      </c>
      <c r="E31" s="5">
        <v>200000</v>
      </c>
      <c r="F31" s="5">
        <v>0</v>
      </c>
      <c r="G31" s="5">
        <f t="shared" si="0"/>
        <v>3755000</v>
      </c>
      <c r="M31"/>
    </row>
    <row r="32" spans="1:13" x14ac:dyDescent="0.25">
      <c r="A32" s="8">
        <v>45319</v>
      </c>
      <c r="B32" s="5">
        <v>300000</v>
      </c>
      <c r="C32" s="5">
        <v>2590000</v>
      </c>
      <c r="D32" s="5">
        <v>800000</v>
      </c>
      <c r="E32" s="5">
        <v>700000</v>
      </c>
      <c r="F32" s="5">
        <v>0</v>
      </c>
      <c r="G32" s="5">
        <f t="shared" si="0"/>
        <v>1390000</v>
      </c>
      <c r="M32"/>
    </row>
    <row r="33" spans="1:13" x14ac:dyDescent="0.25">
      <c r="A33" s="8">
        <v>45320</v>
      </c>
      <c r="B33" s="5">
        <v>1600000</v>
      </c>
      <c r="C33" s="5">
        <v>400000</v>
      </c>
      <c r="D33" s="5">
        <v>0</v>
      </c>
      <c r="E33" s="5">
        <v>620000</v>
      </c>
      <c r="F33" s="5">
        <v>0</v>
      </c>
      <c r="G33" s="5">
        <f t="shared" si="0"/>
        <v>1380000</v>
      </c>
      <c r="M33"/>
    </row>
    <row r="34" spans="1:13" x14ac:dyDescent="0.25">
      <c r="A34" s="8">
        <v>45321</v>
      </c>
      <c r="B34" s="5">
        <v>800000</v>
      </c>
      <c r="C34" s="5">
        <v>1150000</v>
      </c>
      <c r="D34" s="5">
        <v>880000</v>
      </c>
      <c r="E34" s="5">
        <v>180000</v>
      </c>
      <c r="F34" s="5">
        <v>50000</v>
      </c>
      <c r="G34" s="5">
        <f t="shared" si="0"/>
        <v>840000</v>
      </c>
      <c r="M34"/>
    </row>
    <row r="35" spans="1:13" x14ac:dyDescent="0.25">
      <c r="A35" s="8">
        <v>45322</v>
      </c>
      <c r="B35" s="5">
        <v>750000</v>
      </c>
      <c r="C35" s="5">
        <v>550000</v>
      </c>
      <c r="D35" s="5">
        <v>750000</v>
      </c>
      <c r="E35" s="5">
        <v>0</v>
      </c>
      <c r="F35" s="5">
        <v>0</v>
      </c>
      <c r="G35" s="5">
        <f t="shared" si="0"/>
        <v>550000</v>
      </c>
      <c r="M35"/>
    </row>
    <row r="36" spans="1:13" x14ac:dyDescent="0.25">
      <c r="A36" s="2" t="s">
        <v>4</v>
      </c>
      <c r="B36" s="5">
        <f>SUM(B5:B35)</f>
        <v>34190000</v>
      </c>
      <c r="C36" s="5">
        <f t="shared" ref="C36:E36" si="1">SUM(C5:C35)</f>
        <v>47905000</v>
      </c>
      <c r="D36" s="5">
        <f t="shared" si="1"/>
        <v>28950000</v>
      </c>
      <c r="E36" s="5">
        <f t="shared" si="1"/>
        <v>10007500</v>
      </c>
      <c r="F36" s="5">
        <f>SUM(F5:F35)</f>
        <v>468000</v>
      </c>
      <c r="G36" s="5">
        <f>SUM(B36+C36-D36-E36-F36)</f>
        <v>42669500</v>
      </c>
      <c r="M36"/>
    </row>
    <row r="37" spans="1:13" x14ac:dyDescent="0.25">
      <c r="M37"/>
    </row>
    <row r="38" spans="1:13" x14ac:dyDescent="0.25">
      <c r="A38" s="1" t="s">
        <v>5</v>
      </c>
      <c r="B38" s="1"/>
      <c r="C38" s="4">
        <f>SUM(B36+C36)</f>
        <v>82095000</v>
      </c>
      <c r="D38" s="7" t="s">
        <v>19</v>
      </c>
      <c r="E38" s="7" t="s">
        <v>18</v>
      </c>
      <c r="F38" s="7" t="s">
        <v>2</v>
      </c>
      <c r="M38"/>
    </row>
    <row r="39" spans="1:13" x14ac:dyDescent="0.25">
      <c r="A39" s="1" t="s">
        <v>6</v>
      </c>
      <c r="B39" s="1"/>
      <c r="C39" s="4">
        <f>SUM(D36)</f>
        <v>28950000</v>
      </c>
      <c r="D39" s="5">
        <f>SUM(G36)</f>
        <v>42669500</v>
      </c>
      <c r="E39" s="5">
        <f>SUM(D36)</f>
        <v>28950000</v>
      </c>
      <c r="F39" s="5">
        <v>0</v>
      </c>
      <c r="M39"/>
    </row>
    <row r="40" spans="1:13" x14ac:dyDescent="0.25">
      <c r="A40" s="1" t="s">
        <v>8</v>
      </c>
      <c r="B40" s="1"/>
      <c r="C40" s="4">
        <f>SUM(E36)</f>
        <v>10007500</v>
      </c>
      <c r="M40"/>
    </row>
    <row r="41" spans="1:13" x14ac:dyDescent="0.25">
      <c r="A41" s="1" t="s">
        <v>7</v>
      </c>
      <c r="C41" s="4">
        <f>SUM(F36)</f>
        <v>468000</v>
      </c>
      <c r="D41" s="7" t="s">
        <v>10</v>
      </c>
      <c r="E41" s="7" t="s">
        <v>27</v>
      </c>
      <c r="F41" s="7" t="s">
        <v>9</v>
      </c>
      <c r="G41" s="7" t="s">
        <v>17</v>
      </c>
      <c r="M41"/>
    </row>
    <row r="42" spans="1:13" x14ac:dyDescent="0.25">
      <c r="A42" s="1" t="s">
        <v>4</v>
      </c>
      <c r="C42" s="4">
        <f>SUM(G36)</f>
        <v>42669500</v>
      </c>
      <c r="D42" s="5">
        <f>SUM(F36)</f>
        <v>468000</v>
      </c>
      <c r="E42" s="5"/>
      <c r="F42" s="5">
        <f>SUM(C52)</f>
        <v>16725000</v>
      </c>
      <c r="G42" s="5">
        <f>SUM(D39+E39+F39+D42-F42)</f>
        <v>55362500</v>
      </c>
      <c r="M42"/>
    </row>
    <row r="43" spans="1:13" x14ac:dyDescent="0.25">
      <c r="C43" s="1"/>
      <c r="M43"/>
    </row>
    <row r="44" spans="1:13" x14ac:dyDescent="0.25">
      <c r="A44" s="1" t="s">
        <v>9</v>
      </c>
      <c r="C44" s="1"/>
      <c r="E44" s="12"/>
      <c r="F44" s="12"/>
      <c r="G44" s="4"/>
      <c r="M44"/>
    </row>
    <row r="45" spans="1:13" x14ac:dyDescent="0.25">
      <c r="A45" s="1"/>
      <c r="C45" s="10"/>
      <c r="E45" s="1"/>
      <c r="G45" s="4"/>
      <c r="M45"/>
    </row>
    <row r="46" spans="1:13" x14ac:dyDescent="0.25">
      <c r="A46" s="1" t="s">
        <v>11</v>
      </c>
      <c r="C46" s="4">
        <v>16725000</v>
      </c>
      <c r="E46" s="1"/>
      <c r="G46" s="4"/>
      <c r="M46"/>
    </row>
    <row r="47" spans="1:13" x14ac:dyDescent="0.25">
      <c r="A47" s="1" t="s">
        <v>12</v>
      </c>
      <c r="C47" s="10" t="s">
        <v>22</v>
      </c>
      <c r="E47" s="1"/>
      <c r="F47" s="1"/>
      <c r="G47" s="4"/>
      <c r="M47"/>
    </row>
    <row r="48" spans="1:13" x14ac:dyDescent="0.25">
      <c r="A48" s="1" t="s">
        <v>13</v>
      </c>
      <c r="C48" s="10" t="s">
        <v>22</v>
      </c>
      <c r="E48" s="1"/>
      <c r="F48" s="1"/>
      <c r="G48" s="4"/>
      <c r="M48"/>
    </row>
    <row r="49" spans="1:13" x14ac:dyDescent="0.25">
      <c r="A49" s="1" t="s">
        <v>14</v>
      </c>
      <c r="C49" s="4">
        <v>0</v>
      </c>
      <c r="E49" s="1"/>
      <c r="G49" s="4"/>
      <c r="M49"/>
    </row>
    <row r="50" spans="1:13" x14ac:dyDescent="0.25">
      <c r="A50" s="1" t="s">
        <v>15</v>
      </c>
      <c r="C50" s="4">
        <v>0</v>
      </c>
      <c r="E50" s="1"/>
      <c r="G50" s="4"/>
      <c r="M50"/>
    </row>
    <row r="51" spans="1:13" x14ac:dyDescent="0.25">
      <c r="A51" s="1" t="s">
        <v>16</v>
      </c>
      <c r="C51" s="4">
        <v>0</v>
      </c>
      <c r="E51" s="1"/>
      <c r="F51" s="1"/>
      <c r="G51" s="4"/>
      <c r="M51"/>
    </row>
    <row r="52" spans="1:13" x14ac:dyDescent="0.25">
      <c r="B52" s="1" t="s">
        <v>4</v>
      </c>
      <c r="C52" s="4">
        <f>SUM(C45:C51)</f>
        <v>16725000</v>
      </c>
      <c r="E52" s="1"/>
      <c r="M52"/>
    </row>
    <row r="53" spans="1:13" x14ac:dyDescent="0.25">
      <c r="M53"/>
    </row>
    <row r="54" spans="1:13" x14ac:dyDescent="0.25">
      <c r="M54"/>
    </row>
    <row r="55" spans="1:13" x14ac:dyDescent="0.25">
      <c r="M55"/>
    </row>
    <row r="56" spans="1:13" x14ac:dyDescent="0.25">
      <c r="M56"/>
    </row>
    <row r="57" spans="1:13" x14ac:dyDescent="0.25">
      <c r="M57"/>
    </row>
    <row r="58" spans="1:13" x14ac:dyDescent="0.25">
      <c r="M58"/>
    </row>
    <row r="59" spans="1:13" x14ac:dyDescent="0.25">
      <c r="M59"/>
    </row>
    <row r="60" spans="1:13" x14ac:dyDescent="0.25">
      <c r="M60"/>
    </row>
    <row r="61" spans="1:13" x14ac:dyDescent="0.25">
      <c r="M61"/>
    </row>
    <row r="62" spans="1:13" x14ac:dyDescent="0.25">
      <c r="M62"/>
    </row>
    <row r="63" spans="1:13" x14ac:dyDescent="0.25">
      <c r="M63"/>
    </row>
    <row r="64" spans="1:13" x14ac:dyDescent="0.25">
      <c r="M64"/>
    </row>
    <row r="65" spans="13:13" x14ac:dyDescent="0.25">
      <c r="M65"/>
    </row>
    <row r="66" spans="13:13" x14ac:dyDescent="0.25">
      <c r="M66"/>
    </row>
    <row r="67" spans="13:13" x14ac:dyDescent="0.25">
      <c r="M67"/>
    </row>
    <row r="68" spans="13:13" x14ac:dyDescent="0.25">
      <c r="M68"/>
    </row>
    <row r="69" spans="13:13" x14ac:dyDescent="0.25">
      <c r="M69"/>
    </row>
    <row r="70" spans="13:13" x14ac:dyDescent="0.25">
      <c r="M70"/>
    </row>
    <row r="71" spans="13:13" x14ac:dyDescent="0.25">
      <c r="M71"/>
    </row>
    <row r="72" spans="13:13" x14ac:dyDescent="0.25">
      <c r="M72"/>
    </row>
    <row r="73" spans="13:13" x14ac:dyDescent="0.25">
      <c r="M73"/>
    </row>
    <row r="74" spans="13:13" x14ac:dyDescent="0.25">
      <c r="M74"/>
    </row>
    <row r="75" spans="13:13" x14ac:dyDescent="0.25">
      <c r="M75"/>
    </row>
    <row r="76" spans="13:13" x14ac:dyDescent="0.25">
      <c r="M76"/>
    </row>
    <row r="77" spans="13:13" x14ac:dyDescent="0.25">
      <c r="M77"/>
    </row>
    <row r="78" spans="13:13" x14ac:dyDescent="0.25">
      <c r="M78"/>
    </row>
  </sheetData>
  <mergeCells count="1">
    <mergeCell ref="E44:F44"/>
  </mergeCells>
  <pageMargins left="0.7" right="0.7" top="0.75" bottom="0.75" header="0.3" footer="0.3"/>
  <pageSetup paperSize="10000" scale="47" orientation="portrait" horizontalDpi="0" verticalDpi="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JANUARI-2024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mitsu</dc:creator>
  <cp:lastModifiedBy>mitsu</cp:lastModifiedBy>
  <cp:lastPrinted>2024-01-22T08:50:38Z</cp:lastPrinted>
  <dcterms:created xsi:type="dcterms:W3CDTF">2021-12-10T03:09:43Z</dcterms:created>
  <dcterms:modified xsi:type="dcterms:W3CDTF">2024-02-03T10:45:39Z</dcterms:modified>
</cp:coreProperties>
</file>